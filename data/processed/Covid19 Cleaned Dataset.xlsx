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covid19-data-dashboard-visualization\data\processed\"/>
    </mc:Choice>
  </mc:AlternateContent>
  <xr:revisionPtr revIDLastSave="0" documentId="13_ncr:1_{DF6186AA-4CDD-4BA5-8F95-BC995342B26F}" xr6:coauthVersionLast="47" xr6:coauthVersionMax="47" xr10:uidLastSave="{00000000-0000-0000-0000-000000000000}"/>
  <bookViews>
    <workbookView xWindow="-110" yWindow="-110" windowWidth="19420" windowHeight="11500" tabRatio="635" xr2:uid="{6B337CAA-DFBB-4F5C-9482-A50040F71A70}"/>
  </bookViews>
  <sheets>
    <sheet name="Covid 19 Statewise Data" sheetId="1" r:id="rId1"/>
    <sheet name="Pivot Table &amp; Slicer" sheetId="3" r:id="rId2"/>
    <sheet name="Dashboard" sheetId="7" r:id="rId3"/>
  </sheets>
  <definedNames>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 i="1" l="1"/>
  <c r="E112" i="1"/>
  <c r="D112" i="1"/>
  <c r="C112" i="1"/>
</calcChain>
</file>

<file path=xl/sharedStrings.xml><?xml version="1.0" encoding="utf-8"?>
<sst xmlns="http://schemas.openxmlformats.org/spreadsheetml/2006/main" count="239" uniqueCount="54">
  <si>
    <t>State</t>
  </si>
  <si>
    <t>Year</t>
  </si>
  <si>
    <t>Cases</t>
  </si>
  <si>
    <t>Deaths</t>
  </si>
  <si>
    <t>Recovered</t>
  </si>
  <si>
    <t>Vaccinated</t>
  </si>
  <si>
    <t>Andaman and Nicobar Islands</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</si>
  <si>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</si>
  <si>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</si>
  <si>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</si>
  <si>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</si>
  <si>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</si>
  <si>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</si>
  <si>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</si>
  <si>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</si>
  <si>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</si>
  <si>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</si>
  <si>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</si>
  <si>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</si>
  <si>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</si>
  <si>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</si>
  <si>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</si>
  <si>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</si>
  <si>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</si>
  <si>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</si>
  <si>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</si>
  <si>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</si>
  <si>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</si>
  <si>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</si>
  <si>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</si>
  <si>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</si>
  <si>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</si>
  <si>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</si>
  <si>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</si>
  <si>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</si>
  <si>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</si>
  <si>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</si>
  <si>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</si>
  <si>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</si>
  <si>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</si>
  <si>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</si>
  <si>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</si>
  <si>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Total</t>
  </si>
  <si>
    <t>Sum of Cases</t>
  </si>
  <si>
    <t>Sum of Deaths</t>
  </si>
  <si>
    <t>Sum of Recovered</t>
  </si>
  <si>
    <t>Sum of Vaccinated</t>
  </si>
  <si>
    <t>Row Labels</t>
  </si>
  <si>
    <t>Grand Total</t>
  </si>
  <si>
    <t>Total Cases : 89,805,020</t>
  </si>
  <si>
    <t>Total Recovered : 88,270,672</t>
  </si>
  <si>
    <t>Overall Death Rate (%) : 1.29%</t>
  </si>
  <si>
    <t>Overall Recovery Rate (%) : 98.29%</t>
  </si>
  <si>
    <t>Click The Year Box To Update Data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</si>
</sst>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4" tint="-0.249977111117893"/>
      <name val="Aptos Narrow"/>
      <family val="2"/>
      <scheme val="minor"/>
    </font>
    <font>
      <sz val="12"/>
      <color theme="3"/>
      <name val="Aptos Narrow"/>
      <family val="2"/>
      <scheme val="minor"/>
    </font>
    <font>
      <sz val="14"/>
      <color theme="3" tint="9.9978637043366805E-2"/>
      <name val="Aptos Narrow"/>
      <family val="2"/>
      <scheme val="minor"/>
    </font>
    <font>
      <sz val="11"/>
      <color theme="4" tint="-0.249977111117893"/>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19" fillId="34" borderId="13" xfId="0" applyFont="1" applyFill="1" applyBorder="1"/>
    <xf numFmtId="1" fontId="19" fillId="34" borderId="13" xfId="0" applyNumberFormat="1" applyFont="1" applyFill="1" applyBorder="1"/>
    <xf numFmtId="0" fontId="20" fillId="35" borderId="13" xfId="0" applyFont="1" applyFill="1" applyBorder="1" applyAlignment="1">
      <alignment horizontal="left" vertical="center"/>
    </xf>
    <xf numFmtId="0" fontId="18" fillId="33" borderId="10" xfId="0" applyFont="1" applyFill="1" applyBorder="1" applyAlignment="1">
      <alignment horizontal="center"/>
    </xf>
    <xf numFmtId="0" fontId="18" fillId="33" borderId="12" xfId="0" applyFont="1" applyFill="1" applyBorder="1" applyAlignment="1">
      <alignment horizontal="center"/>
    </xf>
    <xf numFmtId="0" fontId="18" fillId="33" borderId="11" xfId="0" applyFont="1" applyFill="1" applyBorder="1" applyAlignment="1">
      <alignment horizontal="center"/>
    </xf>
    <xf numFmtId="0" fontId="21" fillId="33" borderId="10" xfId="0" applyFont="1" applyFill="1" applyBorder="1" applyAlignment="1">
      <alignment horizontal="center"/>
    </xf>
    <xf numFmtId="0" fontId="21" fillId="33" borderId="12" xfId="0" applyFont="1" applyFill="1" applyBorder="1" applyAlignment="1">
      <alignment horizontal="center"/>
    </xf>
    <xf numFmtId="0" fontId="21"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Cleaned Dataset.xlsx]Pivot Table &amp; Slicer!PivotTable2</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Slicer'!$C$8</c:f>
              <c:strCache>
                <c:ptCount val="1"/>
                <c:pt idx="0">
                  <c:v>Sum of Vaccinated</c:v>
                </c:pt>
              </c:strCache>
            </c:strRef>
          </c:tx>
          <c:spPr>
            <a:ln w="28575" cap="rnd">
              <a:solidFill>
                <a:schemeClr val="accent1"/>
              </a:solidFill>
              <a:round/>
            </a:ln>
            <a:effectLst/>
          </c:spPr>
          <c:marker>
            <c:symbol val="none"/>
          </c:marker>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Slicer'!$C$9:$C$120</c:f>
              <c:numCache>
                <c:formatCode>General</c:formatCode>
                <c:ptCount val="1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592837</c:v>
                </c:pt>
                <c:pt idx="37">
                  <c:v>68894212</c:v>
                </c:pt>
                <c:pt idx="38">
                  <c:v>1461358</c:v>
                </c:pt>
                <c:pt idx="39">
                  <c:v>37549618</c:v>
                </c:pt>
                <c:pt idx="40">
                  <c:v>99824631</c:v>
                </c:pt>
                <c:pt idx="41">
                  <c:v>1923051</c:v>
                </c:pt>
                <c:pt idx="42">
                  <c:v>31698374</c:v>
                </c:pt>
                <c:pt idx="43">
                  <c:v>1294822</c:v>
                </c:pt>
                <c:pt idx="44">
                  <c:v>26183944</c:v>
                </c:pt>
                <c:pt idx="45">
                  <c:v>2589341</c:v>
                </c:pt>
                <c:pt idx="46">
                  <c:v>89563214</c:v>
                </c:pt>
                <c:pt idx="47">
                  <c:v>34493121</c:v>
                </c:pt>
                <c:pt idx="48">
                  <c:v>11342911</c:v>
                </c:pt>
                <c:pt idx="49">
                  <c:v>18563122</c:v>
                </c:pt>
                <c:pt idx="50">
                  <c:v>29894213</c:v>
                </c:pt>
                <c:pt idx="51">
                  <c:v>81294155</c:v>
                </c:pt>
                <c:pt idx="52">
                  <c:v>46894231</c:v>
                </c:pt>
                <c:pt idx="53">
                  <c:v>432912</c:v>
                </c:pt>
                <c:pt idx="54">
                  <c:v>102941</c:v>
                </c:pt>
                <c:pt idx="55">
                  <c:v>102894121</c:v>
                </c:pt>
                <c:pt idx="56">
                  <c:v>132941258</c:v>
                </c:pt>
                <c:pt idx="57">
                  <c:v>2314911</c:v>
                </c:pt>
                <c:pt idx="58">
                  <c:v>2194125</c:v>
                </c:pt>
                <c:pt idx="59">
                  <c:v>1324911</c:v>
                </c:pt>
                <c:pt idx="60">
                  <c:v>1342158</c:v>
                </c:pt>
                <c:pt idx="61">
                  <c:v>50294155</c:v>
                </c:pt>
                <c:pt idx="62">
                  <c:v>1389412</c:v>
                </c:pt>
                <c:pt idx="63">
                  <c:v>26594213</c:v>
                </c:pt>
                <c:pt idx="64">
                  <c:v>80941255</c:v>
                </c:pt>
                <c:pt idx="65">
                  <c:v>1029314</c:v>
                </c:pt>
                <c:pt idx="66">
                  <c:v>81563212</c:v>
                </c:pt>
                <c:pt idx="67">
                  <c:v>47894213</c:v>
                </c:pt>
                <c:pt idx="68">
                  <c:v>4912458</c:v>
                </c:pt>
                <c:pt idx="69">
                  <c:v>200854213</c:v>
                </c:pt>
                <c:pt idx="70">
                  <c:v>13842155</c:v>
                </c:pt>
                <c:pt idx="71">
                  <c:v>104291458</c:v>
                </c:pt>
                <c:pt idx="72">
                  <c:v>991263</c:v>
                </c:pt>
                <c:pt idx="73">
                  <c:v>110655938</c:v>
                </c:pt>
                <c:pt idx="74">
                  <c:v>1923512</c:v>
                </c:pt>
                <c:pt idx="75">
                  <c:v>50325492</c:v>
                </c:pt>
                <c:pt idx="76">
                  <c:v>157252874</c:v>
                </c:pt>
                <c:pt idx="77">
                  <c:v>2289417</c:v>
                </c:pt>
                <c:pt idx="78">
                  <c:v>49157832</c:v>
                </c:pt>
                <c:pt idx="79">
                  <c:v>1582914</c:v>
                </c:pt>
                <c:pt idx="80">
                  <c:v>37402619</c:v>
                </c:pt>
                <c:pt idx="81">
                  <c:v>2874312</c:v>
                </c:pt>
                <c:pt idx="82">
                  <c:v>128084122</c:v>
                </c:pt>
                <c:pt idx="83">
                  <c:v>45542894</c:v>
                </c:pt>
                <c:pt idx="84">
                  <c:v>15328491</c:v>
                </c:pt>
                <c:pt idx="85">
                  <c:v>24784912</c:v>
                </c:pt>
                <c:pt idx="86">
                  <c:v>43892014</c:v>
                </c:pt>
                <c:pt idx="87">
                  <c:v>122158913</c:v>
                </c:pt>
                <c:pt idx="88">
                  <c:v>57523914</c:v>
                </c:pt>
                <c:pt idx="89">
                  <c:v>569314</c:v>
                </c:pt>
                <c:pt idx="90">
                  <c:v>142358</c:v>
                </c:pt>
                <c:pt idx="91">
                  <c:v>153928415</c:v>
                </c:pt>
                <c:pt idx="92">
                  <c:v>177924155</c:v>
                </c:pt>
                <c:pt idx="93">
                  <c:v>3267914</c:v>
                </c:pt>
                <c:pt idx="94">
                  <c:v>2624911</c:v>
                </c:pt>
                <c:pt idx="95">
                  <c:v>1793512</c:v>
                </c:pt>
                <c:pt idx="96">
                  <c:v>1739241</c:v>
                </c:pt>
                <c:pt idx="97">
                  <c:v>81523912</c:v>
                </c:pt>
                <c:pt idx="98">
                  <c:v>2274911</c:v>
                </c:pt>
                <c:pt idx="99">
                  <c:v>47023915</c:v>
                </c:pt>
                <c:pt idx="100">
                  <c:v>115421392</c:v>
                </c:pt>
                <c:pt idx="101">
                  <c:v>1362914</c:v>
                </c:pt>
                <c:pt idx="102">
                  <c:v>127542911</c:v>
                </c:pt>
                <c:pt idx="103">
                  <c:v>77542912</c:v>
                </c:pt>
                <c:pt idx="104">
                  <c:v>5912458</c:v>
                </c:pt>
                <c:pt idx="105">
                  <c:v>392014913</c:v>
                </c:pt>
                <c:pt idx="106">
                  <c:v>20124912</c:v>
                </c:pt>
                <c:pt idx="107">
                  <c:v>156024915</c:v>
                </c:pt>
              </c:numCache>
            </c:numRef>
          </c:val>
          <c:smooth val="0"/>
          <c:extLst>
            <c:ext xmlns:c16="http://schemas.microsoft.com/office/drawing/2014/chart" uri="{C3380CC4-5D6E-409C-BE32-E72D297353CC}">
              <c16:uniqueId val="{00000000-F7EC-4653-B794-07022FFED164}"/>
            </c:ext>
          </c:extLst>
        </c:ser>
        <c:ser>
          <c:idx val="1"/>
          <c:order val="1"/>
          <c:tx>
            <c:strRef>
              <c:f>'Pivot Table &amp; Slicer'!$D$8</c:f>
              <c:strCache>
                <c:ptCount val="1"/>
                <c:pt idx="0">
                  <c:v>Sum of Recovered</c:v>
                </c:pt>
              </c:strCache>
            </c:strRef>
          </c:tx>
          <c:spPr>
            <a:ln w="28575" cap="rnd">
              <a:solidFill>
                <a:schemeClr val="accent2"/>
              </a:solidFill>
              <a:round/>
            </a:ln>
            <a:effectLst/>
          </c:spPr>
          <c:marker>
            <c:symbol val="none"/>
          </c:marker>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Slicer'!$D$9:$D$120</c:f>
              <c:numCache>
                <c:formatCode>General</c:formatCode>
                <c:ptCount val="108"/>
                <c:pt idx="0">
                  <c:v>4820</c:v>
                </c:pt>
                <c:pt idx="1">
                  <c:v>871588</c:v>
                </c:pt>
                <c:pt idx="2">
                  <c:v>16549</c:v>
                </c:pt>
                <c:pt idx="3">
                  <c:v>211838</c:v>
                </c:pt>
                <c:pt idx="4">
                  <c:v>245156</c:v>
                </c:pt>
                <c:pt idx="5">
                  <c:v>18967</c:v>
                </c:pt>
                <c:pt idx="6">
                  <c:v>263251</c:v>
                </c:pt>
                <c:pt idx="7">
                  <c:v>3364</c:v>
                </c:pt>
                <c:pt idx="8">
                  <c:v>608434</c:v>
                </c:pt>
                <c:pt idx="9">
                  <c:v>49313</c:v>
                </c:pt>
                <c:pt idx="10">
                  <c:v>229977</c:v>
                </c:pt>
                <c:pt idx="11">
                  <c:v>255356</c:v>
                </c:pt>
                <c:pt idx="12">
                  <c:v>51387</c:v>
                </c:pt>
                <c:pt idx="13">
                  <c:v>115830</c:v>
                </c:pt>
                <c:pt idx="14">
                  <c:v>112206</c:v>
                </c:pt>
                <c:pt idx="15">
                  <c:v>894834</c:v>
                </c:pt>
                <c:pt idx="16">
                  <c:v>687104</c:v>
                </c:pt>
                <c:pt idx="17">
                  <c:v>9132</c:v>
                </c:pt>
                <c:pt idx="18">
                  <c:v>0</c:v>
                </c:pt>
                <c:pt idx="19">
                  <c:v>227965</c:v>
                </c:pt>
                <c:pt idx="20">
                  <c:v>1824934</c:v>
                </c:pt>
                <c:pt idx="21">
                  <c:v>26601</c:v>
                </c:pt>
                <c:pt idx="22">
                  <c:v>13085</c:v>
                </c:pt>
                <c:pt idx="23">
                  <c:v>4091</c:v>
                </c:pt>
                <c:pt idx="24">
                  <c:v>11624</c:v>
                </c:pt>
                <c:pt idx="25">
                  <c:v>325103</c:v>
                </c:pt>
                <c:pt idx="26">
                  <c:v>37100</c:v>
                </c:pt>
                <c:pt idx="27">
                  <c:v>157043</c:v>
                </c:pt>
                <c:pt idx="28">
                  <c:v>295030</c:v>
                </c:pt>
                <c:pt idx="29">
                  <c:v>5218</c:v>
                </c:pt>
                <c:pt idx="30">
                  <c:v>796353</c:v>
                </c:pt>
                <c:pt idx="31">
                  <c:v>278839</c:v>
                </c:pt>
                <c:pt idx="32">
                  <c:v>32751</c:v>
                </c:pt>
                <c:pt idx="33">
                  <c:v>562459</c:v>
                </c:pt>
                <c:pt idx="34">
                  <c:v>84149</c:v>
                </c:pt>
                <c:pt idx="35">
                  <c:v>528829</c:v>
                </c:pt>
                <c:pt idx="36">
                  <c:v>7582</c:v>
                </c:pt>
                <c:pt idx="37">
                  <c:v>2061405</c:v>
                </c:pt>
                <c:pt idx="38">
                  <c:v>55038</c:v>
                </c:pt>
                <c:pt idx="39">
                  <c:v>612282</c:v>
                </c:pt>
                <c:pt idx="40">
                  <c:v>714308</c:v>
                </c:pt>
                <c:pt idx="41">
                  <c:v>64638</c:v>
                </c:pt>
                <c:pt idx="42">
                  <c:v>993800</c:v>
                </c:pt>
                <c:pt idx="43">
                  <c:v>10687</c:v>
                </c:pt>
                <c:pt idx="44">
                  <c:v>1418227</c:v>
                </c:pt>
                <c:pt idx="45">
                  <c:v>176283</c:v>
                </c:pt>
                <c:pt idx="46">
                  <c:v>818589</c:v>
                </c:pt>
                <c:pt idx="47">
                  <c:v>762228</c:v>
                </c:pt>
                <c:pt idx="48">
                  <c:v>224465</c:v>
                </c:pt>
                <c:pt idx="49">
                  <c:v>335347</c:v>
                </c:pt>
                <c:pt idx="50">
                  <c:v>344472</c:v>
                </c:pt>
                <c:pt idx="51">
                  <c:v>2959926</c:v>
                </c:pt>
                <c:pt idx="52">
                  <c:v>5176535</c:v>
                </c:pt>
                <c:pt idx="53">
                  <c:v>21750</c:v>
                </c:pt>
                <c:pt idx="54">
                  <c:v>10361</c:v>
                </c:pt>
                <c:pt idx="55">
                  <c:v>782995</c:v>
                </c:pt>
                <c:pt idx="56">
                  <c:v>6507330</c:v>
                </c:pt>
                <c:pt idx="57">
                  <c:v>123586</c:v>
                </c:pt>
                <c:pt idx="58">
                  <c:v>83272</c:v>
                </c:pt>
                <c:pt idx="59">
                  <c:v>139200</c:v>
                </c:pt>
                <c:pt idx="60">
                  <c:v>31420</c:v>
                </c:pt>
                <c:pt idx="61">
                  <c:v>1044594</c:v>
                </c:pt>
                <c:pt idx="62">
                  <c:v>127452</c:v>
                </c:pt>
                <c:pt idx="63">
                  <c:v>587368</c:v>
                </c:pt>
                <c:pt idx="64">
                  <c:v>946283</c:v>
                </c:pt>
                <c:pt idx="65">
                  <c:v>32032</c:v>
                </c:pt>
                <c:pt idx="66">
                  <c:v>2703196</c:v>
                </c:pt>
                <c:pt idx="67">
                  <c:v>673999</c:v>
                </c:pt>
                <c:pt idx="68">
                  <c:v>84145</c:v>
                </c:pt>
                <c:pt idx="69">
                  <c:v>1687799</c:v>
                </c:pt>
                <c:pt idx="70">
                  <c:v>337268</c:v>
                </c:pt>
                <c:pt idx="71">
                  <c:v>1606501</c:v>
                </c:pt>
                <c:pt idx="72">
                  <c:v>10612</c:v>
                </c:pt>
                <c:pt idx="73">
                  <c:v>2324332</c:v>
                </c:pt>
                <c:pt idx="74">
                  <c:v>66594</c:v>
                </c:pt>
                <c:pt idx="75">
                  <c:v>738065</c:v>
                </c:pt>
                <c:pt idx="76">
                  <c:v>839062</c:v>
                </c:pt>
                <c:pt idx="77">
                  <c:v>98162</c:v>
                </c:pt>
                <c:pt idx="78">
                  <c:v>1163602</c:v>
                </c:pt>
                <c:pt idx="79">
                  <c:v>11587</c:v>
                </c:pt>
                <c:pt idx="80">
                  <c:v>1980657</c:v>
                </c:pt>
                <c:pt idx="81">
                  <c:v>255050</c:v>
                </c:pt>
                <c:pt idx="82">
                  <c:v>1266479</c:v>
                </c:pt>
                <c:pt idx="83">
                  <c:v>1045854</c:v>
                </c:pt>
                <c:pt idx="84">
                  <c:v>308418</c:v>
                </c:pt>
                <c:pt idx="85">
                  <c:v>474610</c:v>
                </c:pt>
                <c:pt idx="86">
                  <c:v>437238</c:v>
                </c:pt>
                <c:pt idx="87">
                  <c:v>4030363</c:v>
                </c:pt>
                <c:pt idx="88">
                  <c:v>6755401</c:v>
                </c:pt>
                <c:pt idx="89">
                  <c:v>29178</c:v>
                </c:pt>
                <c:pt idx="90">
                  <c:v>11363</c:v>
                </c:pt>
                <c:pt idx="91">
                  <c:v>1044138</c:v>
                </c:pt>
                <c:pt idx="92">
                  <c:v>7988044</c:v>
                </c:pt>
                <c:pt idx="93">
                  <c:v>137773</c:v>
                </c:pt>
                <c:pt idx="94">
                  <c:v>95158</c:v>
                </c:pt>
                <c:pt idx="95">
                  <c:v>238238</c:v>
                </c:pt>
                <c:pt idx="96">
                  <c:v>35204</c:v>
                </c:pt>
                <c:pt idx="97">
                  <c:v>1327264</c:v>
                </c:pt>
                <c:pt idx="98">
                  <c:v>173530</c:v>
                </c:pt>
                <c:pt idx="99">
                  <c:v>764878</c:v>
                </c:pt>
                <c:pt idx="100">
                  <c:v>1305740</c:v>
                </c:pt>
                <c:pt idx="101">
                  <c:v>43819</c:v>
                </c:pt>
                <c:pt idx="102">
                  <c:v>3556292</c:v>
                </c:pt>
                <c:pt idx="103">
                  <c:v>837162</c:v>
                </c:pt>
                <c:pt idx="104">
                  <c:v>107094</c:v>
                </c:pt>
                <c:pt idx="105">
                  <c:v>2104432</c:v>
                </c:pt>
                <c:pt idx="106">
                  <c:v>441610</c:v>
                </c:pt>
                <c:pt idx="107">
                  <c:v>2097026</c:v>
                </c:pt>
              </c:numCache>
            </c:numRef>
          </c:val>
          <c:smooth val="0"/>
          <c:extLst>
            <c:ext xmlns:c16="http://schemas.microsoft.com/office/drawing/2014/chart" uri="{C3380CC4-5D6E-409C-BE32-E72D297353CC}">
              <c16:uniqueId val="{00000001-F7EC-4653-B794-07022FFED164}"/>
            </c:ext>
          </c:extLst>
        </c:ser>
        <c:ser>
          <c:idx val="2"/>
          <c:order val="2"/>
          <c:tx>
            <c:strRef>
              <c:f>'Pivot Table &amp; Slicer'!$E$8</c:f>
              <c:strCache>
                <c:ptCount val="1"/>
                <c:pt idx="0">
                  <c:v>Sum of Deaths</c:v>
                </c:pt>
              </c:strCache>
            </c:strRef>
          </c:tx>
          <c:spPr>
            <a:ln w="28575" cap="rnd">
              <a:solidFill>
                <a:schemeClr val="accent3"/>
              </a:solidFill>
              <a:round/>
            </a:ln>
            <a:effectLst/>
          </c:spPr>
          <c:marker>
            <c:symbol val="none"/>
          </c:marker>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Slicer'!$E$9:$E$120</c:f>
              <c:numCache>
                <c:formatCode>General</c:formatCode>
                <c:ptCount val="108"/>
                <c:pt idx="0">
                  <c:v>62</c:v>
                </c:pt>
                <c:pt idx="1">
                  <c:v>7104</c:v>
                </c:pt>
                <c:pt idx="2">
                  <c:v>56</c:v>
                </c:pt>
                <c:pt idx="3">
                  <c:v>1043</c:v>
                </c:pt>
                <c:pt idx="4">
                  <c:v>1393</c:v>
                </c:pt>
                <c:pt idx="5">
                  <c:v>316</c:v>
                </c:pt>
                <c:pt idx="6">
                  <c:v>3350</c:v>
                </c:pt>
                <c:pt idx="7">
                  <c:v>2</c:v>
                </c:pt>
                <c:pt idx="8">
                  <c:v>10523</c:v>
                </c:pt>
                <c:pt idx="9">
                  <c:v>737</c:v>
                </c:pt>
                <c:pt idx="10">
                  <c:v>4302</c:v>
                </c:pt>
                <c:pt idx="11">
                  <c:v>2899</c:v>
                </c:pt>
                <c:pt idx="12">
                  <c:v>931</c:v>
                </c:pt>
                <c:pt idx="13">
                  <c:v>1880</c:v>
                </c:pt>
                <c:pt idx="14">
                  <c:v>1027</c:v>
                </c:pt>
                <c:pt idx="15">
                  <c:v>12081</c:v>
                </c:pt>
                <c:pt idx="16">
                  <c:v>3042</c:v>
                </c:pt>
                <c:pt idx="17">
                  <c:v>127</c:v>
                </c:pt>
                <c:pt idx="18">
                  <c:v>0</c:v>
                </c:pt>
                <c:pt idx="19">
                  <c:v>3595</c:v>
                </c:pt>
                <c:pt idx="20">
                  <c:v>49463</c:v>
                </c:pt>
                <c:pt idx="21">
                  <c:v>354</c:v>
                </c:pt>
                <c:pt idx="22">
                  <c:v>139</c:v>
                </c:pt>
                <c:pt idx="23">
                  <c:v>8</c:v>
                </c:pt>
                <c:pt idx="24">
                  <c:v>79</c:v>
                </c:pt>
                <c:pt idx="25">
                  <c:v>1871</c:v>
                </c:pt>
                <c:pt idx="26">
                  <c:v>633</c:v>
                </c:pt>
                <c:pt idx="27">
                  <c:v>5331</c:v>
                </c:pt>
                <c:pt idx="28">
                  <c:v>2689</c:v>
                </c:pt>
                <c:pt idx="29">
                  <c:v>127</c:v>
                </c:pt>
                <c:pt idx="30">
                  <c:v>12109</c:v>
                </c:pt>
                <c:pt idx="31">
                  <c:v>1541</c:v>
                </c:pt>
                <c:pt idx="32">
                  <c:v>385</c:v>
                </c:pt>
                <c:pt idx="33">
                  <c:v>8352</c:v>
                </c:pt>
                <c:pt idx="34">
                  <c:v>1504</c:v>
                </c:pt>
                <c:pt idx="35">
                  <c:v>9683</c:v>
                </c:pt>
                <c:pt idx="36">
                  <c:v>129</c:v>
                </c:pt>
                <c:pt idx="37">
                  <c:v>14493</c:v>
                </c:pt>
                <c:pt idx="38">
                  <c:v>280</c:v>
                </c:pt>
                <c:pt idx="39">
                  <c:v>6164</c:v>
                </c:pt>
                <c:pt idx="40">
                  <c:v>12096</c:v>
                </c:pt>
                <c:pt idx="41">
                  <c:v>1079</c:v>
                </c:pt>
                <c:pt idx="42">
                  <c:v>13600</c:v>
                </c:pt>
                <c:pt idx="43">
                  <c:v>4</c:v>
                </c:pt>
                <c:pt idx="44">
                  <c:v>25107</c:v>
                </c:pt>
                <c:pt idx="45">
                  <c:v>3521</c:v>
                </c:pt>
                <c:pt idx="46">
                  <c:v>10118</c:v>
                </c:pt>
                <c:pt idx="47">
                  <c:v>10063</c:v>
                </c:pt>
                <c:pt idx="48">
                  <c:v>3875</c:v>
                </c:pt>
                <c:pt idx="49">
                  <c:v>4526</c:v>
                </c:pt>
                <c:pt idx="50">
                  <c:v>5143</c:v>
                </c:pt>
                <c:pt idx="51">
                  <c:v>38327</c:v>
                </c:pt>
                <c:pt idx="52">
                  <c:v>47441</c:v>
                </c:pt>
                <c:pt idx="53">
                  <c:v>219</c:v>
                </c:pt>
                <c:pt idx="54">
                  <c:v>51</c:v>
                </c:pt>
                <c:pt idx="55">
                  <c:v>10533</c:v>
                </c:pt>
                <c:pt idx="56">
                  <c:v>141518</c:v>
                </c:pt>
                <c:pt idx="57">
                  <c:v>2002</c:v>
                </c:pt>
                <c:pt idx="58">
                  <c:v>1484</c:v>
                </c:pt>
                <c:pt idx="59">
                  <c:v>542</c:v>
                </c:pt>
                <c:pt idx="60">
                  <c:v>702</c:v>
                </c:pt>
                <c:pt idx="61">
                  <c:v>8458</c:v>
                </c:pt>
                <c:pt idx="62">
                  <c:v>1881</c:v>
                </c:pt>
                <c:pt idx="63">
                  <c:v>16644</c:v>
                </c:pt>
                <c:pt idx="64">
                  <c:v>8963</c:v>
                </c:pt>
                <c:pt idx="65">
                  <c:v>409</c:v>
                </c:pt>
                <c:pt idx="66">
                  <c:v>36765</c:v>
                </c:pt>
                <c:pt idx="67">
                  <c:v>4025</c:v>
                </c:pt>
                <c:pt idx="68">
                  <c:v>829</c:v>
                </c:pt>
                <c:pt idx="69">
                  <c:v>22915</c:v>
                </c:pt>
                <c:pt idx="70">
                  <c:v>7417</c:v>
                </c:pt>
                <c:pt idx="71">
                  <c:v>19757</c:v>
                </c:pt>
                <c:pt idx="72">
                  <c:v>129</c:v>
                </c:pt>
                <c:pt idx="73">
                  <c:v>14733</c:v>
                </c:pt>
                <c:pt idx="74">
                  <c:v>296</c:v>
                </c:pt>
                <c:pt idx="75">
                  <c:v>8035</c:v>
                </c:pt>
                <c:pt idx="76">
                  <c:v>12302</c:v>
                </c:pt>
                <c:pt idx="77">
                  <c:v>1181</c:v>
                </c:pt>
                <c:pt idx="78">
                  <c:v>14146</c:v>
                </c:pt>
                <c:pt idx="79">
                  <c:v>4</c:v>
                </c:pt>
                <c:pt idx="80">
                  <c:v>26521</c:v>
                </c:pt>
                <c:pt idx="81">
                  <c:v>4013</c:v>
                </c:pt>
                <c:pt idx="82">
                  <c:v>11043</c:v>
                </c:pt>
                <c:pt idx="83">
                  <c:v>10714</c:v>
                </c:pt>
                <c:pt idx="84">
                  <c:v>4213</c:v>
                </c:pt>
                <c:pt idx="85">
                  <c:v>4785</c:v>
                </c:pt>
                <c:pt idx="86">
                  <c:v>5331</c:v>
                </c:pt>
                <c:pt idx="87">
                  <c:v>40307</c:v>
                </c:pt>
                <c:pt idx="88">
                  <c:v>71555</c:v>
                </c:pt>
                <c:pt idx="89">
                  <c:v>231</c:v>
                </c:pt>
                <c:pt idx="90">
                  <c:v>52</c:v>
                </c:pt>
                <c:pt idx="91">
                  <c:v>10776</c:v>
                </c:pt>
                <c:pt idx="92">
                  <c:v>148417</c:v>
                </c:pt>
                <c:pt idx="93">
                  <c:v>2149</c:v>
                </c:pt>
                <c:pt idx="94">
                  <c:v>1624</c:v>
                </c:pt>
                <c:pt idx="95">
                  <c:v>726</c:v>
                </c:pt>
                <c:pt idx="96">
                  <c:v>782</c:v>
                </c:pt>
                <c:pt idx="97">
                  <c:v>9205</c:v>
                </c:pt>
                <c:pt idx="98">
                  <c:v>1975</c:v>
                </c:pt>
                <c:pt idx="99">
                  <c:v>19289</c:v>
                </c:pt>
                <c:pt idx="100">
                  <c:v>9653</c:v>
                </c:pt>
                <c:pt idx="101">
                  <c:v>499</c:v>
                </c:pt>
                <c:pt idx="102">
                  <c:v>38049</c:v>
                </c:pt>
                <c:pt idx="103">
                  <c:v>4111</c:v>
                </c:pt>
                <c:pt idx="104">
                  <c:v>940</c:v>
                </c:pt>
                <c:pt idx="105">
                  <c:v>23633</c:v>
                </c:pt>
                <c:pt idx="106">
                  <c:v>7751</c:v>
                </c:pt>
                <c:pt idx="107">
                  <c:v>21532</c:v>
                </c:pt>
              </c:numCache>
            </c:numRef>
          </c:val>
          <c:smooth val="0"/>
          <c:extLst>
            <c:ext xmlns:c16="http://schemas.microsoft.com/office/drawing/2014/chart" uri="{C3380CC4-5D6E-409C-BE32-E72D297353CC}">
              <c16:uniqueId val="{00000002-F7EC-4653-B794-07022FFED164}"/>
            </c:ext>
          </c:extLst>
        </c:ser>
        <c:ser>
          <c:idx val="3"/>
          <c:order val="3"/>
          <c:tx>
            <c:strRef>
              <c:f>'Pivot Table &amp; Slicer'!$F$8</c:f>
              <c:strCache>
                <c:ptCount val="1"/>
                <c:pt idx="0">
                  <c:v>Sum of Cases</c:v>
                </c:pt>
              </c:strCache>
            </c:strRef>
          </c:tx>
          <c:spPr>
            <a:ln w="28575" cap="rnd">
              <a:solidFill>
                <a:schemeClr val="accent4"/>
              </a:solidFill>
              <a:round/>
            </a:ln>
            <a:effectLst/>
          </c:spPr>
          <c:marker>
            <c:symbol val="none"/>
          </c:marker>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Slicer'!$F$9:$F$120</c:f>
              <c:numCache>
                <c:formatCode>General</c:formatCode>
                <c:ptCount val="108"/>
                <c:pt idx="0">
                  <c:v>4941</c:v>
                </c:pt>
                <c:pt idx="1">
                  <c:v>881948</c:v>
                </c:pt>
                <c:pt idx="2">
                  <c:v>16711</c:v>
                </c:pt>
                <c:pt idx="3">
                  <c:v>216139</c:v>
                </c:pt>
                <c:pt idx="4">
                  <c:v>251348</c:v>
                </c:pt>
                <c:pt idx="5">
                  <c:v>19682</c:v>
                </c:pt>
                <c:pt idx="6">
                  <c:v>278540</c:v>
                </c:pt>
                <c:pt idx="7">
                  <c:v>3375</c:v>
                </c:pt>
                <c:pt idx="8">
                  <c:v>624795</c:v>
                </c:pt>
                <c:pt idx="9">
                  <c:v>50981</c:v>
                </c:pt>
                <c:pt idx="10">
                  <c:v>244258</c:v>
                </c:pt>
                <c:pt idx="11">
                  <c:v>262054</c:v>
                </c:pt>
                <c:pt idx="12">
                  <c:v>55114</c:v>
                </c:pt>
                <c:pt idx="13">
                  <c:v>120744</c:v>
                </c:pt>
                <c:pt idx="14">
                  <c:v>114873</c:v>
                </c:pt>
                <c:pt idx="15">
                  <c:v>918544</c:v>
                </c:pt>
                <c:pt idx="16">
                  <c:v>755718</c:v>
                </c:pt>
                <c:pt idx="17">
                  <c:v>9447</c:v>
                </c:pt>
                <c:pt idx="18">
                  <c:v>0</c:v>
                </c:pt>
                <c:pt idx="19">
                  <c:v>240947</c:v>
                </c:pt>
                <c:pt idx="20">
                  <c:v>1928603</c:v>
                </c:pt>
                <c:pt idx="21">
                  <c:v>28137</c:v>
                </c:pt>
                <c:pt idx="22">
                  <c:v>13408</c:v>
                </c:pt>
                <c:pt idx="23">
                  <c:v>4204</c:v>
                </c:pt>
                <c:pt idx="24">
                  <c:v>11921</c:v>
                </c:pt>
                <c:pt idx="25">
                  <c:v>329306</c:v>
                </c:pt>
                <c:pt idx="26">
                  <c:v>38096</c:v>
                </c:pt>
                <c:pt idx="27">
                  <c:v>166239</c:v>
                </c:pt>
                <c:pt idx="28">
                  <c:v>307554</c:v>
                </c:pt>
                <c:pt idx="29">
                  <c:v>5877</c:v>
                </c:pt>
                <c:pt idx="30">
                  <c:v>817077</c:v>
                </c:pt>
                <c:pt idx="31">
                  <c:v>286354</c:v>
                </c:pt>
                <c:pt idx="32">
                  <c:v>33264</c:v>
                </c:pt>
                <c:pt idx="33">
                  <c:v>584966</c:v>
                </c:pt>
                <c:pt idx="34">
                  <c:v>90616</c:v>
                </c:pt>
                <c:pt idx="35">
                  <c:v>550893</c:v>
                </c:pt>
                <c:pt idx="36">
                  <c:v>7720</c:v>
                </c:pt>
                <c:pt idx="37">
                  <c:v>2076979</c:v>
                </c:pt>
                <c:pt idx="38">
                  <c:v>55339</c:v>
                </c:pt>
                <c:pt idx="39">
                  <c:v>620573</c:v>
                </c:pt>
                <c:pt idx="40">
                  <c:v>726738</c:v>
                </c:pt>
                <c:pt idx="41">
                  <c:v>65846</c:v>
                </c:pt>
                <c:pt idx="42">
                  <c:v>1007997</c:v>
                </c:pt>
                <c:pt idx="43">
                  <c:v>10691</c:v>
                </c:pt>
                <c:pt idx="44">
                  <c:v>1446415</c:v>
                </c:pt>
                <c:pt idx="45">
                  <c:v>180660</c:v>
                </c:pt>
                <c:pt idx="46">
                  <c:v>831078</c:v>
                </c:pt>
                <c:pt idx="47">
                  <c:v>773361</c:v>
                </c:pt>
                <c:pt idx="48">
                  <c:v>228770</c:v>
                </c:pt>
                <c:pt idx="49">
                  <c:v>341167</c:v>
                </c:pt>
                <c:pt idx="50">
                  <c:v>350986</c:v>
                </c:pt>
                <c:pt idx="51">
                  <c:v>3006505</c:v>
                </c:pt>
                <c:pt idx="52">
                  <c:v>5244501</c:v>
                </c:pt>
                <c:pt idx="53">
                  <c:v>22173</c:v>
                </c:pt>
                <c:pt idx="54">
                  <c:v>10416</c:v>
                </c:pt>
                <c:pt idx="55">
                  <c:v>793888</c:v>
                </c:pt>
                <c:pt idx="56">
                  <c:v>6670754</c:v>
                </c:pt>
                <c:pt idx="57">
                  <c:v>125778</c:v>
                </c:pt>
                <c:pt idx="58">
                  <c:v>84817</c:v>
                </c:pt>
                <c:pt idx="59">
                  <c:v>141400</c:v>
                </c:pt>
                <c:pt idx="60">
                  <c:v>32191</c:v>
                </c:pt>
                <c:pt idx="61">
                  <c:v>1054606</c:v>
                </c:pt>
                <c:pt idx="62">
                  <c:v>129461</c:v>
                </c:pt>
                <c:pt idx="63">
                  <c:v>604594</c:v>
                </c:pt>
                <c:pt idx="64">
                  <c:v>956019</c:v>
                </c:pt>
                <c:pt idx="65">
                  <c:v>32502</c:v>
                </c:pt>
                <c:pt idx="66">
                  <c:v>2746890</c:v>
                </c:pt>
                <c:pt idx="67">
                  <c:v>681587</c:v>
                </c:pt>
                <c:pt idx="68">
                  <c:v>85069</c:v>
                </c:pt>
                <c:pt idx="69">
                  <c:v>1711359</c:v>
                </c:pt>
                <c:pt idx="70">
                  <c:v>344940</c:v>
                </c:pt>
                <c:pt idx="71">
                  <c:v>1635034</c:v>
                </c:pt>
                <c:pt idx="72">
                  <c:v>10746</c:v>
                </c:pt>
                <c:pt idx="73">
                  <c:v>2349069</c:v>
                </c:pt>
                <c:pt idx="74">
                  <c:v>66890</c:v>
                </c:pt>
                <c:pt idx="75">
                  <c:v>746100</c:v>
                </c:pt>
                <c:pt idx="76">
                  <c:v>851388</c:v>
                </c:pt>
                <c:pt idx="77">
                  <c:v>99349</c:v>
                </c:pt>
                <c:pt idx="78">
                  <c:v>1177754</c:v>
                </c:pt>
                <c:pt idx="79">
                  <c:v>11591</c:v>
                </c:pt>
                <c:pt idx="80">
                  <c:v>2007208</c:v>
                </c:pt>
                <c:pt idx="81">
                  <c:v>263084</c:v>
                </c:pt>
                <c:pt idx="82">
                  <c:v>1277569</c:v>
                </c:pt>
                <c:pt idx="83">
                  <c:v>1056611</c:v>
                </c:pt>
                <c:pt idx="84">
                  <c:v>312647</c:v>
                </c:pt>
                <c:pt idx="85">
                  <c:v>479417</c:v>
                </c:pt>
                <c:pt idx="86">
                  <c:v>443571</c:v>
                </c:pt>
                <c:pt idx="87">
                  <c:v>4076670</c:v>
                </c:pt>
                <c:pt idx="88">
                  <c:v>6828376</c:v>
                </c:pt>
                <c:pt idx="89">
                  <c:v>29412</c:v>
                </c:pt>
                <c:pt idx="90">
                  <c:v>11415</c:v>
                </c:pt>
                <c:pt idx="91">
                  <c:v>1054919</c:v>
                </c:pt>
                <c:pt idx="92">
                  <c:v>8136633</c:v>
                </c:pt>
                <c:pt idx="93">
                  <c:v>139922</c:v>
                </c:pt>
                <c:pt idx="94">
                  <c:v>96783</c:v>
                </c:pt>
                <c:pt idx="95">
                  <c:v>238964</c:v>
                </c:pt>
                <c:pt idx="96">
                  <c:v>35986</c:v>
                </c:pt>
                <c:pt idx="97">
                  <c:v>1336563</c:v>
                </c:pt>
                <c:pt idx="98">
                  <c:v>175512</c:v>
                </c:pt>
                <c:pt idx="99">
                  <c:v>784210</c:v>
                </c:pt>
                <c:pt idx="100">
                  <c:v>1315466</c:v>
                </c:pt>
                <c:pt idx="101">
                  <c:v>44319</c:v>
                </c:pt>
                <c:pt idx="102">
                  <c:v>3595415</c:v>
                </c:pt>
                <c:pt idx="103">
                  <c:v>841839</c:v>
                </c:pt>
                <c:pt idx="104">
                  <c:v>108034</c:v>
                </c:pt>
                <c:pt idx="105">
                  <c:v>2128104</c:v>
                </c:pt>
                <c:pt idx="106">
                  <c:v>449389</c:v>
                </c:pt>
                <c:pt idx="107">
                  <c:v>2118617</c:v>
                </c:pt>
              </c:numCache>
            </c:numRef>
          </c:val>
          <c:smooth val="0"/>
          <c:extLst>
            <c:ext xmlns:c16="http://schemas.microsoft.com/office/drawing/2014/chart" uri="{C3380CC4-5D6E-409C-BE32-E72D297353CC}">
              <c16:uniqueId val="{00000003-F7EC-4653-B794-07022FFED164}"/>
            </c:ext>
          </c:extLst>
        </c:ser>
        <c:dLbls>
          <c:showLegendKey val="0"/>
          <c:showVal val="0"/>
          <c:showCatName val="0"/>
          <c:showSerName val="0"/>
          <c:showPercent val="0"/>
          <c:showBubbleSize val="0"/>
        </c:dLbls>
        <c:smooth val="0"/>
        <c:axId val="347230559"/>
        <c:axId val="214809935"/>
      </c:lineChart>
      <c:catAx>
        <c:axId val="347230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809935"/>
        <c:crosses val="autoZero"/>
        <c:auto val="1"/>
        <c:lblAlgn val="ctr"/>
        <c:lblOffset val="100"/>
        <c:noMultiLvlLbl val="0"/>
      </c:catAx>
      <c:valAx>
        <c:axId val="21480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Cleaned Dataset.xlsx]Pivot Table &amp; Slicer!PivotTable2</c:name>
    <c:fmtId val="3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s>
    <c:plotArea>
      <c:layout/>
      <c:doughnutChart>
        <c:varyColors val="1"/>
        <c:ser>
          <c:idx val="0"/>
          <c:order val="0"/>
          <c:tx>
            <c:strRef>
              <c:f>'Pivot Table &amp; Slicer'!$C$8</c:f>
              <c:strCache>
                <c:ptCount val="1"/>
                <c:pt idx="0">
                  <c:v>Sum of Vaccinated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0F-425F-84BC-F2D98EABDC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0F-425F-84BC-F2D98EABDC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0F-425F-84BC-F2D98EABDC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0F-425F-84BC-F2D98EABDC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0F-425F-84BC-F2D98EABDC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0F-425F-84BC-F2D98EABDCE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0F-425F-84BC-F2D98EABDCE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50F-425F-84BC-F2D98EABDCE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50F-425F-84BC-F2D98EABDCE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50F-425F-84BC-F2D98EABDCE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50F-425F-84BC-F2D98EABDCE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50F-425F-84BC-F2D98EABDCE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50F-425F-84BC-F2D98EABDCE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50F-425F-84BC-F2D98EABDCE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50F-425F-84BC-F2D98EABDCE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50F-425F-84BC-F2D98EABDCE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50F-425F-84BC-F2D98EABDCE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50F-425F-84BC-F2D98EABDCE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50F-425F-84BC-F2D98EABDCE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50F-425F-84BC-F2D98EABDCE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50F-425F-84BC-F2D98EABDCE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50F-425F-84BC-F2D98EABDCE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50F-425F-84BC-F2D98EABDCE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50F-425F-84BC-F2D98EABDCE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50F-425F-84BC-F2D98EABDCE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50F-425F-84BC-F2D98EABDCE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50F-425F-84BC-F2D98EABDCE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50F-425F-84BC-F2D98EABDCE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50F-425F-84BC-F2D98EABDCE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50F-425F-84BC-F2D98EABDCE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50F-425F-84BC-F2D98EABDCE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50F-425F-84BC-F2D98EABDCE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50F-425F-84BC-F2D98EABDCE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50F-425F-84BC-F2D98EABDCE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50F-425F-84BC-F2D98EABDCE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50F-425F-84BC-F2D98EABDCE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172-4971-A12B-985ECD03BB2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172-4971-A12B-985ECD03BB2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172-4971-A12B-985ECD03BB2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172-4971-A12B-985ECD03BB2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172-4971-A12B-985ECD03BB2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172-4971-A12B-985ECD03BB2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172-4971-A12B-985ECD03BB2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172-4971-A12B-985ECD03BB2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172-4971-A12B-985ECD03BB2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172-4971-A12B-985ECD03BB2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172-4971-A12B-985ECD03BB2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172-4971-A12B-985ECD03BB2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172-4971-A12B-985ECD03BB2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172-4971-A12B-985ECD03BB2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172-4971-A12B-985ECD03BB2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172-4971-A12B-985ECD03BB2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172-4971-A12B-985ECD03BB2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172-4971-A12B-985ECD03BB2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172-4971-A12B-985ECD03BB2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172-4971-A12B-985ECD03BB2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172-4971-A12B-985ECD03BB2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172-4971-A12B-985ECD03BB2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172-4971-A12B-985ECD03BB2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172-4971-A12B-985ECD03BB2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172-4971-A12B-985ECD03BB2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172-4971-A12B-985ECD03BB2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3172-4971-A12B-985ECD03BB2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3172-4971-A12B-985ECD03BB2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3172-4971-A12B-985ECD03BB2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3172-4971-A12B-985ECD03BB2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3172-4971-A12B-985ECD03BB2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3172-4971-A12B-985ECD03BB2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3172-4971-A12B-985ECD03BB2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3172-4971-A12B-985ECD03BB2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3172-4971-A12B-985ECD03BB2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3172-4971-A12B-985ECD03BB2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3172-4971-A12B-985ECD03BB2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3172-4971-A12B-985ECD03BB2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3172-4971-A12B-985ECD03BB2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3172-4971-A12B-985ECD03BB2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3172-4971-A12B-985ECD03BB2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3172-4971-A12B-985ECD03BB2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3172-4971-A12B-985ECD03BB2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3172-4971-A12B-985ECD03BB2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3172-4971-A12B-985ECD03BB2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3172-4971-A12B-985ECD03BB2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3172-4971-A12B-985ECD03BB2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3172-4971-A12B-985ECD03BB2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3172-4971-A12B-985ECD03BB2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3172-4971-A12B-985ECD03BB2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3172-4971-A12B-985ECD03BB2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3172-4971-A12B-985ECD03BB2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3172-4971-A12B-985ECD03BB2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3172-4971-A12B-985ECD03BB2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3172-4971-A12B-985ECD03BB2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3172-4971-A12B-985ECD03BB2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3172-4971-A12B-985ECD03BB2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3172-4971-A12B-985ECD03BB2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3172-4971-A12B-985ECD03BB2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3172-4971-A12B-985ECD03BB2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3172-4971-A12B-985ECD03BB2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3172-4971-A12B-985ECD03BB2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3172-4971-A12B-985ECD03BB2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3172-4971-A12B-985ECD03BB2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3172-4971-A12B-985ECD03BB2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3172-4971-A12B-985ECD03BB2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3172-4971-A12B-985ECD03BB2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3172-4971-A12B-985ECD03BB2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3172-4971-A12B-985ECD03BB2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3172-4971-A12B-985ECD03BB2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3172-4971-A12B-985ECD03BB2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3172-4971-A12B-985ECD03BB22}"/>
              </c:ext>
            </c:extLst>
          </c:dPt>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Slicer'!$C$9:$C$120</c:f>
              <c:numCache>
                <c:formatCode>General</c:formatCode>
                <c:ptCount val="1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592837</c:v>
                </c:pt>
                <c:pt idx="37">
                  <c:v>68894212</c:v>
                </c:pt>
                <c:pt idx="38">
                  <c:v>1461358</c:v>
                </c:pt>
                <c:pt idx="39">
                  <c:v>37549618</c:v>
                </c:pt>
                <c:pt idx="40">
                  <c:v>99824631</c:v>
                </c:pt>
                <c:pt idx="41">
                  <c:v>1923051</c:v>
                </c:pt>
                <c:pt idx="42">
                  <c:v>31698374</c:v>
                </c:pt>
                <c:pt idx="43">
                  <c:v>1294822</c:v>
                </c:pt>
                <c:pt idx="44">
                  <c:v>26183944</c:v>
                </c:pt>
                <c:pt idx="45">
                  <c:v>2589341</c:v>
                </c:pt>
                <c:pt idx="46">
                  <c:v>89563214</c:v>
                </c:pt>
                <c:pt idx="47">
                  <c:v>34493121</c:v>
                </c:pt>
                <c:pt idx="48">
                  <c:v>11342911</c:v>
                </c:pt>
                <c:pt idx="49">
                  <c:v>18563122</c:v>
                </c:pt>
                <c:pt idx="50">
                  <c:v>29894213</c:v>
                </c:pt>
                <c:pt idx="51">
                  <c:v>81294155</c:v>
                </c:pt>
                <c:pt idx="52">
                  <c:v>46894231</c:v>
                </c:pt>
                <c:pt idx="53">
                  <c:v>432912</c:v>
                </c:pt>
                <c:pt idx="54">
                  <c:v>102941</c:v>
                </c:pt>
                <c:pt idx="55">
                  <c:v>102894121</c:v>
                </c:pt>
                <c:pt idx="56">
                  <c:v>132941258</c:v>
                </c:pt>
                <c:pt idx="57">
                  <c:v>2314911</c:v>
                </c:pt>
                <c:pt idx="58">
                  <c:v>2194125</c:v>
                </c:pt>
                <c:pt idx="59">
                  <c:v>1324911</c:v>
                </c:pt>
                <c:pt idx="60">
                  <c:v>1342158</c:v>
                </c:pt>
                <c:pt idx="61">
                  <c:v>50294155</c:v>
                </c:pt>
                <c:pt idx="62">
                  <c:v>1389412</c:v>
                </c:pt>
                <c:pt idx="63">
                  <c:v>26594213</c:v>
                </c:pt>
                <c:pt idx="64">
                  <c:v>80941255</c:v>
                </c:pt>
                <c:pt idx="65">
                  <c:v>1029314</c:v>
                </c:pt>
                <c:pt idx="66">
                  <c:v>81563212</c:v>
                </c:pt>
                <c:pt idx="67">
                  <c:v>47894213</c:v>
                </c:pt>
                <c:pt idx="68">
                  <c:v>4912458</c:v>
                </c:pt>
                <c:pt idx="69">
                  <c:v>200854213</c:v>
                </c:pt>
                <c:pt idx="70">
                  <c:v>13842155</c:v>
                </c:pt>
                <c:pt idx="71">
                  <c:v>104291458</c:v>
                </c:pt>
                <c:pt idx="72">
                  <c:v>991263</c:v>
                </c:pt>
                <c:pt idx="73">
                  <c:v>110655938</c:v>
                </c:pt>
                <c:pt idx="74">
                  <c:v>1923512</c:v>
                </c:pt>
                <c:pt idx="75">
                  <c:v>50325492</c:v>
                </c:pt>
                <c:pt idx="76">
                  <c:v>157252874</c:v>
                </c:pt>
                <c:pt idx="77">
                  <c:v>2289417</c:v>
                </c:pt>
                <c:pt idx="78">
                  <c:v>49157832</c:v>
                </c:pt>
                <c:pt idx="79">
                  <c:v>1582914</c:v>
                </c:pt>
                <c:pt idx="80">
                  <c:v>37402619</c:v>
                </c:pt>
                <c:pt idx="81">
                  <c:v>2874312</c:v>
                </c:pt>
                <c:pt idx="82">
                  <c:v>128084122</c:v>
                </c:pt>
                <c:pt idx="83">
                  <c:v>45542894</c:v>
                </c:pt>
                <c:pt idx="84">
                  <c:v>15328491</c:v>
                </c:pt>
                <c:pt idx="85">
                  <c:v>24784912</c:v>
                </c:pt>
                <c:pt idx="86">
                  <c:v>43892014</c:v>
                </c:pt>
                <c:pt idx="87">
                  <c:v>122158913</c:v>
                </c:pt>
                <c:pt idx="88">
                  <c:v>57523914</c:v>
                </c:pt>
                <c:pt idx="89">
                  <c:v>569314</c:v>
                </c:pt>
                <c:pt idx="90">
                  <c:v>142358</c:v>
                </c:pt>
                <c:pt idx="91">
                  <c:v>153928415</c:v>
                </c:pt>
                <c:pt idx="92">
                  <c:v>177924155</c:v>
                </c:pt>
                <c:pt idx="93">
                  <c:v>3267914</c:v>
                </c:pt>
                <c:pt idx="94">
                  <c:v>2624911</c:v>
                </c:pt>
                <c:pt idx="95">
                  <c:v>1793512</c:v>
                </c:pt>
                <c:pt idx="96">
                  <c:v>1739241</c:v>
                </c:pt>
                <c:pt idx="97">
                  <c:v>81523912</c:v>
                </c:pt>
                <c:pt idx="98">
                  <c:v>2274911</c:v>
                </c:pt>
                <c:pt idx="99">
                  <c:v>47023915</c:v>
                </c:pt>
                <c:pt idx="100">
                  <c:v>115421392</c:v>
                </c:pt>
                <c:pt idx="101">
                  <c:v>1362914</c:v>
                </c:pt>
                <c:pt idx="102">
                  <c:v>127542911</c:v>
                </c:pt>
                <c:pt idx="103">
                  <c:v>77542912</c:v>
                </c:pt>
                <c:pt idx="104">
                  <c:v>5912458</c:v>
                </c:pt>
                <c:pt idx="105">
                  <c:v>392014913</c:v>
                </c:pt>
                <c:pt idx="106">
                  <c:v>20124912</c:v>
                </c:pt>
                <c:pt idx="107">
                  <c:v>156024915</c:v>
                </c:pt>
              </c:numCache>
            </c:numRef>
          </c:val>
          <c:extLst>
            <c:ext xmlns:c16="http://schemas.microsoft.com/office/drawing/2014/chart" uri="{C3380CC4-5D6E-409C-BE32-E72D297353CC}">
              <c16:uniqueId val="{00000048-E50F-425F-84BC-F2D98EABDCE3}"/>
            </c:ext>
          </c:extLst>
        </c:ser>
        <c:ser>
          <c:idx val="1"/>
          <c:order val="1"/>
          <c:tx>
            <c:strRef>
              <c:f>'Pivot Table &amp; Slicer'!$D$8</c:f>
              <c:strCache>
                <c:ptCount val="1"/>
                <c:pt idx="0">
                  <c:v>Sum of Recovered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A-E50F-425F-84BC-F2D98EABDC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C-E50F-425F-84BC-F2D98EABDC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E-E50F-425F-84BC-F2D98EABDC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0-E50F-425F-84BC-F2D98EABDC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2-E50F-425F-84BC-F2D98EABDC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4-E50F-425F-84BC-F2D98EABDCE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6-E50F-425F-84BC-F2D98EABDCE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8-E50F-425F-84BC-F2D98EABDCE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A-E50F-425F-84BC-F2D98EABDCE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C-E50F-425F-84BC-F2D98EABDCE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E-E50F-425F-84BC-F2D98EABDCE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0-E50F-425F-84BC-F2D98EABDCE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2-E50F-425F-84BC-F2D98EABDCE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4-E50F-425F-84BC-F2D98EABDCE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6-E50F-425F-84BC-F2D98EABDCE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8-E50F-425F-84BC-F2D98EABDCE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A-E50F-425F-84BC-F2D98EABDCE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C-E50F-425F-84BC-F2D98EABDCE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6E-E50F-425F-84BC-F2D98EABDCE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0-E50F-425F-84BC-F2D98EABDCE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72-E50F-425F-84BC-F2D98EABDCE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74-E50F-425F-84BC-F2D98EABDCE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76-E50F-425F-84BC-F2D98EABDCE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78-E50F-425F-84BC-F2D98EABDCE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7A-E50F-425F-84BC-F2D98EABDCE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7C-E50F-425F-84BC-F2D98EABDCE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7E-E50F-425F-84BC-F2D98EABDCE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80-E50F-425F-84BC-F2D98EABDCE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82-E50F-425F-84BC-F2D98EABDCE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84-E50F-425F-84BC-F2D98EABDCE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86-E50F-425F-84BC-F2D98EABDCE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88-E50F-425F-84BC-F2D98EABDCE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8A-E50F-425F-84BC-F2D98EABDCE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8C-E50F-425F-84BC-F2D98EABDCE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8E-E50F-425F-84BC-F2D98EABDCE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90-E50F-425F-84BC-F2D98EABDCE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3172-4971-A12B-985ECD03BB2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3172-4971-A12B-985ECD03BB2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3172-4971-A12B-985ECD03BB2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3172-4971-A12B-985ECD03BB2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3172-4971-A12B-985ECD03BB2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3172-4971-A12B-985ECD03BB2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3172-4971-A12B-985ECD03BB2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3172-4971-A12B-985ECD03BB2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3172-4971-A12B-985ECD03BB2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3172-4971-A12B-985ECD03BB2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3172-4971-A12B-985ECD03BB2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3172-4971-A12B-985ECD03BB2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3172-4971-A12B-985ECD03BB2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3172-4971-A12B-985ECD03BB2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3172-4971-A12B-985ECD03BB2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3172-4971-A12B-985ECD03BB2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3172-4971-A12B-985ECD03BB2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3172-4971-A12B-985ECD03BB2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45-3172-4971-A12B-985ECD03BB2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47-3172-4971-A12B-985ECD03BB2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49-3172-4971-A12B-985ECD03BB2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4B-3172-4971-A12B-985ECD03BB2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4D-3172-4971-A12B-985ECD03BB2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4F-3172-4971-A12B-985ECD03BB2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3172-4971-A12B-985ECD03BB2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3172-4971-A12B-985ECD03BB2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3172-4971-A12B-985ECD03BB2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3172-4971-A12B-985ECD03BB2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3172-4971-A12B-985ECD03BB2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3172-4971-A12B-985ECD03BB2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3172-4971-A12B-985ECD03BB2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3172-4971-A12B-985ECD03BB2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3172-4971-A12B-985ECD03BB2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3172-4971-A12B-985ECD03BB2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3172-4971-A12B-985ECD03BB2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3172-4971-A12B-985ECD03BB2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3172-4971-A12B-985ECD03BB2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3172-4971-A12B-985ECD03BB2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3172-4971-A12B-985ECD03BB2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3172-4971-A12B-985ECD03BB2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3172-4971-A12B-985ECD03BB2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3172-4971-A12B-985ECD03BB2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3172-4971-A12B-985ECD03BB2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3172-4971-A12B-985ECD03BB2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3172-4971-A12B-985ECD03BB2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3172-4971-A12B-985ECD03BB2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3172-4971-A12B-985ECD03BB2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3172-4971-A12B-985ECD03BB2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3172-4971-A12B-985ECD03BB2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3172-4971-A12B-985ECD03BB2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3172-4971-A12B-985ECD03BB2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3172-4971-A12B-985ECD03BB2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3172-4971-A12B-985ECD03BB2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3172-4971-A12B-985ECD03BB2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3172-4971-A12B-985ECD03BB2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3172-4971-A12B-985ECD03BB2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3172-4971-A12B-985ECD03BB2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3172-4971-A12B-985ECD03BB2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3172-4971-A12B-985ECD03BB2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3172-4971-A12B-985ECD03BB2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3172-4971-A12B-985ECD03BB2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3172-4971-A12B-985ECD03BB2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3172-4971-A12B-985ECD03BB2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3172-4971-A12B-985ECD03BB2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3172-4971-A12B-985ECD03BB2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3172-4971-A12B-985ECD03BB2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3172-4971-A12B-985ECD03BB2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3172-4971-A12B-985ECD03BB2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3172-4971-A12B-985ECD03BB2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3172-4971-A12B-985ECD03BB2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3172-4971-A12B-985ECD03BB2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3172-4971-A12B-985ECD03BB22}"/>
              </c:ext>
            </c:extLst>
          </c:dPt>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Slicer'!$D$9:$D$120</c:f>
              <c:numCache>
                <c:formatCode>General</c:formatCode>
                <c:ptCount val="108"/>
                <c:pt idx="0">
                  <c:v>4820</c:v>
                </c:pt>
                <c:pt idx="1">
                  <c:v>871588</c:v>
                </c:pt>
                <c:pt idx="2">
                  <c:v>16549</c:v>
                </c:pt>
                <c:pt idx="3">
                  <c:v>211838</c:v>
                </c:pt>
                <c:pt idx="4">
                  <c:v>245156</c:v>
                </c:pt>
                <c:pt idx="5">
                  <c:v>18967</c:v>
                </c:pt>
                <c:pt idx="6">
                  <c:v>263251</c:v>
                </c:pt>
                <c:pt idx="7">
                  <c:v>3364</c:v>
                </c:pt>
                <c:pt idx="8">
                  <c:v>608434</c:v>
                </c:pt>
                <c:pt idx="9">
                  <c:v>49313</c:v>
                </c:pt>
                <c:pt idx="10">
                  <c:v>229977</c:v>
                </c:pt>
                <c:pt idx="11">
                  <c:v>255356</c:v>
                </c:pt>
                <c:pt idx="12">
                  <c:v>51387</c:v>
                </c:pt>
                <c:pt idx="13">
                  <c:v>115830</c:v>
                </c:pt>
                <c:pt idx="14">
                  <c:v>112206</c:v>
                </c:pt>
                <c:pt idx="15">
                  <c:v>894834</c:v>
                </c:pt>
                <c:pt idx="16">
                  <c:v>687104</c:v>
                </c:pt>
                <c:pt idx="17">
                  <c:v>9132</c:v>
                </c:pt>
                <c:pt idx="18">
                  <c:v>0</c:v>
                </c:pt>
                <c:pt idx="19">
                  <c:v>227965</c:v>
                </c:pt>
                <c:pt idx="20">
                  <c:v>1824934</c:v>
                </c:pt>
                <c:pt idx="21">
                  <c:v>26601</c:v>
                </c:pt>
                <c:pt idx="22">
                  <c:v>13085</c:v>
                </c:pt>
                <c:pt idx="23">
                  <c:v>4091</c:v>
                </c:pt>
                <c:pt idx="24">
                  <c:v>11624</c:v>
                </c:pt>
                <c:pt idx="25">
                  <c:v>325103</c:v>
                </c:pt>
                <c:pt idx="26">
                  <c:v>37100</c:v>
                </c:pt>
                <c:pt idx="27">
                  <c:v>157043</c:v>
                </c:pt>
                <c:pt idx="28">
                  <c:v>295030</c:v>
                </c:pt>
                <c:pt idx="29">
                  <c:v>5218</c:v>
                </c:pt>
                <c:pt idx="30">
                  <c:v>796353</c:v>
                </c:pt>
                <c:pt idx="31">
                  <c:v>278839</c:v>
                </c:pt>
                <c:pt idx="32">
                  <c:v>32751</c:v>
                </c:pt>
                <c:pt idx="33">
                  <c:v>562459</c:v>
                </c:pt>
                <c:pt idx="34">
                  <c:v>84149</c:v>
                </c:pt>
                <c:pt idx="35">
                  <c:v>528829</c:v>
                </c:pt>
                <c:pt idx="36">
                  <c:v>7582</c:v>
                </c:pt>
                <c:pt idx="37">
                  <c:v>2061405</c:v>
                </c:pt>
                <c:pt idx="38">
                  <c:v>55038</c:v>
                </c:pt>
                <c:pt idx="39">
                  <c:v>612282</c:v>
                </c:pt>
                <c:pt idx="40">
                  <c:v>714308</c:v>
                </c:pt>
                <c:pt idx="41">
                  <c:v>64638</c:v>
                </c:pt>
                <c:pt idx="42">
                  <c:v>993800</c:v>
                </c:pt>
                <c:pt idx="43">
                  <c:v>10687</c:v>
                </c:pt>
                <c:pt idx="44">
                  <c:v>1418227</c:v>
                </c:pt>
                <c:pt idx="45">
                  <c:v>176283</c:v>
                </c:pt>
                <c:pt idx="46">
                  <c:v>818589</c:v>
                </c:pt>
                <c:pt idx="47">
                  <c:v>762228</c:v>
                </c:pt>
                <c:pt idx="48">
                  <c:v>224465</c:v>
                </c:pt>
                <c:pt idx="49">
                  <c:v>335347</c:v>
                </c:pt>
                <c:pt idx="50">
                  <c:v>344472</c:v>
                </c:pt>
                <c:pt idx="51">
                  <c:v>2959926</c:v>
                </c:pt>
                <c:pt idx="52">
                  <c:v>5176535</c:v>
                </c:pt>
                <c:pt idx="53">
                  <c:v>21750</c:v>
                </c:pt>
                <c:pt idx="54">
                  <c:v>10361</c:v>
                </c:pt>
                <c:pt idx="55">
                  <c:v>782995</c:v>
                </c:pt>
                <c:pt idx="56">
                  <c:v>6507330</c:v>
                </c:pt>
                <c:pt idx="57">
                  <c:v>123586</c:v>
                </c:pt>
                <c:pt idx="58">
                  <c:v>83272</c:v>
                </c:pt>
                <c:pt idx="59">
                  <c:v>139200</c:v>
                </c:pt>
                <c:pt idx="60">
                  <c:v>31420</c:v>
                </c:pt>
                <c:pt idx="61">
                  <c:v>1044594</c:v>
                </c:pt>
                <c:pt idx="62">
                  <c:v>127452</c:v>
                </c:pt>
                <c:pt idx="63">
                  <c:v>587368</c:v>
                </c:pt>
                <c:pt idx="64">
                  <c:v>946283</c:v>
                </c:pt>
                <c:pt idx="65">
                  <c:v>32032</c:v>
                </c:pt>
                <c:pt idx="66">
                  <c:v>2703196</c:v>
                </c:pt>
                <c:pt idx="67">
                  <c:v>673999</c:v>
                </c:pt>
                <c:pt idx="68">
                  <c:v>84145</c:v>
                </c:pt>
                <c:pt idx="69">
                  <c:v>1687799</c:v>
                </c:pt>
                <c:pt idx="70">
                  <c:v>337268</c:v>
                </c:pt>
                <c:pt idx="71">
                  <c:v>1606501</c:v>
                </c:pt>
                <c:pt idx="72">
                  <c:v>10612</c:v>
                </c:pt>
                <c:pt idx="73">
                  <c:v>2324332</c:v>
                </c:pt>
                <c:pt idx="74">
                  <c:v>66594</c:v>
                </c:pt>
                <c:pt idx="75">
                  <c:v>738065</c:v>
                </c:pt>
                <c:pt idx="76">
                  <c:v>839062</c:v>
                </c:pt>
                <c:pt idx="77">
                  <c:v>98162</c:v>
                </c:pt>
                <c:pt idx="78">
                  <c:v>1163602</c:v>
                </c:pt>
                <c:pt idx="79">
                  <c:v>11587</c:v>
                </c:pt>
                <c:pt idx="80">
                  <c:v>1980657</c:v>
                </c:pt>
                <c:pt idx="81">
                  <c:v>255050</c:v>
                </c:pt>
                <c:pt idx="82">
                  <c:v>1266479</c:v>
                </c:pt>
                <c:pt idx="83">
                  <c:v>1045854</c:v>
                </c:pt>
                <c:pt idx="84">
                  <c:v>308418</c:v>
                </c:pt>
                <c:pt idx="85">
                  <c:v>474610</c:v>
                </c:pt>
                <c:pt idx="86">
                  <c:v>437238</c:v>
                </c:pt>
                <c:pt idx="87">
                  <c:v>4030363</c:v>
                </c:pt>
                <c:pt idx="88">
                  <c:v>6755401</c:v>
                </c:pt>
                <c:pt idx="89">
                  <c:v>29178</c:v>
                </c:pt>
                <c:pt idx="90">
                  <c:v>11363</c:v>
                </c:pt>
                <c:pt idx="91">
                  <c:v>1044138</c:v>
                </c:pt>
                <c:pt idx="92">
                  <c:v>7988044</c:v>
                </c:pt>
                <c:pt idx="93">
                  <c:v>137773</c:v>
                </c:pt>
                <c:pt idx="94">
                  <c:v>95158</c:v>
                </c:pt>
                <c:pt idx="95">
                  <c:v>238238</c:v>
                </c:pt>
                <c:pt idx="96">
                  <c:v>35204</c:v>
                </c:pt>
                <c:pt idx="97">
                  <c:v>1327264</c:v>
                </c:pt>
                <c:pt idx="98">
                  <c:v>173530</c:v>
                </c:pt>
                <c:pt idx="99">
                  <c:v>764878</c:v>
                </c:pt>
                <c:pt idx="100">
                  <c:v>1305740</c:v>
                </c:pt>
                <c:pt idx="101">
                  <c:v>43819</c:v>
                </c:pt>
                <c:pt idx="102">
                  <c:v>3556292</c:v>
                </c:pt>
                <c:pt idx="103">
                  <c:v>837162</c:v>
                </c:pt>
                <c:pt idx="104">
                  <c:v>107094</c:v>
                </c:pt>
                <c:pt idx="105">
                  <c:v>2104432</c:v>
                </c:pt>
                <c:pt idx="106">
                  <c:v>441610</c:v>
                </c:pt>
                <c:pt idx="107">
                  <c:v>2097026</c:v>
                </c:pt>
              </c:numCache>
            </c:numRef>
          </c:val>
          <c:extLst>
            <c:ext xmlns:c16="http://schemas.microsoft.com/office/drawing/2014/chart" uri="{C3380CC4-5D6E-409C-BE32-E72D297353CC}">
              <c16:uniqueId val="{00000091-E50F-425F-84BC-F2D98EABDCE3}"/>
            </c:ext>
          </c:extLst>
        </c:ser>
        <c:ser>
          <c:idx val="2"/>
          <c:order val="2"/>
          <c:tx>
            <c:strRef>
              <c:f>'Pivot Table &amp; Slicer'!$E$8</c:f>
              <c:strCache>
                <c:ptCount val="1"/>
                <c:pt idx="0">
                  <c:v>Sum of Deaths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3-E50F-425F-84BC-F2D98EABDC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5-E50F-425F-84BC-F2D98EABDC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7-E50F-425F-84BC-F2D98EABDC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9-E50F-425F-84BC-F2D98EABDC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B-E50F-425F-84BC-F2D98EABDC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D-E50F-425F-84BC-F2D98EABDCE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F-E50F-425F-84BC-F2D98EABDCE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1-E50F-425F-84BC-F2D98EABDCE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A3-E50F-425F-84BC-F2D98EABDCE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A5-E50F-425F-84BC-F2D98EABDCE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7-E50F-425F-84BC-F2D98EABDCE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A9-E50F-425F-84BC-F2D98EABDCE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AB-E50F-425F-84BC-F2D98EABDCE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AD-E50F-425F-84BC-F2D98EABDCE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AF-E50F-425F-84BC-F2D98EABDCE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B1-E50F-425F-84BC-F2D98EABDCE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B3-E50F-425F-84BC-F2D98EABDCE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B5-E50F-425F-84BC-F2D98EABDCE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B7-E50F-425F-84BC-F2D98EABDCE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B9-E50F-425F-84BC-F2D98EABDCE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BB-E50F-425F-84BC-F2D98EABDCE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BD-E50F-425F-84BC-F2D98EABDCE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BF-E50F-425F-84BC-F2D98EABDCE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C1-E50F-425F-84BC-F2D98EABDCE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C3-E50F-425F-84BC-F2D98EABDCE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C5-E50F-425F-84BC-F2D98EABDCE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C7-E50F-425F-84BC-F2D98EABDCE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C9-E50F-425F-84BC-F2D98EABDCE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CB-E50F-425F-84BC-F2D98EABDCE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CD-E50F-425F-84BC-F2D98EABDCE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CF-E50F-425F-84BC-F2D98EABDCE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D1-E50F-425F-84BC-F2D98EABDCE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D3-E50F-425F-84BC-F2D98EABDCE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D5-E50F-425F-84BC-F2D98EABDCE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D7-E50F-425F-84BC-F2D98EABDCE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D9-E50F-425F-84BC-F2D98EABDCE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3172-4971-A12B-985ECD03BB2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3172-4971-A12B-985ECD03BB2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3172-4971-A12B-985ECD03BB2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3172-4971-A12B-985ECD03BB2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3172-4971-A12B-985ECD03BB2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3172-4971-A12B-985ECD03BB2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3172-4971-A12B-985ECD03BB2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3172-4971-A12B-985ECD03BB2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3172-4971-A12B-985ECD03BB2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3172-4971-A12B-985ECD03BB2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3172-4971-A12B-985ECD03BB2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3172-4971-A12B-985ECD03BB2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3172-4971-A12B-985ECD03BB2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3172-4971-A12B-985ECD03BB2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3172-4971-A12B-985ECD03BB2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3172-4971-A12B-985ECD03BB2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3172-4971-A12B-985ECD03BB2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3172-4971-A12B-985ECD03BB2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1D-3172-4971-A12B-985ECD03BB2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1F-3172-4971-A12B-985ECD03BB2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21-3172-4971-A12B-985ECD03BB2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23-3172-4971-A12B-985ECD03BB2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25-3172-4971-A12B-985ECD03BB2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27-3172-4971-A12B-985ECD03BB2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3172-4971-A12B-985ECD03BB2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3172-4971-A12B-985ECD03BB2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3172-4971-A12B-985ECD03BB2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3172-4971-A12B-985ECD03BB2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3172-4971-A12B-985ECD03BB2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3172-4971-A12B-985ECD03BB2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3172-4971-A12B-985ECD03BB2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3172-4971-A12B-985ECD03BB2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3172-4971-A12B-985ECD03BB2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3172-4971-A12B-985ECD03BB2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3172-4971-A12B-985ECD03BB2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3172-4971-A12B-985ECD03BB2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3172-4971-A12B-985ECD03BB2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3172-4971-A12B-985ECD03BB2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3172-4971-A12B-985ECD03BB2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3172-4971-A12B-985ECD03BB2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3172-4971-A12B-985ECD03BB2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3172-4971-A12B-985ECD03BB2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3172-4971-A12B-985ECD03BB2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3172-4971-A12B-985ECD03BB2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3172-4971-A12B-985ECD03BB2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3172-4971-A12B-985ECD03BB2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3172-4971-A12B-985ECD03BB2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3172-4971-A12B-985ECD03BB2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3172-4971-A12B-985ECD03BB2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3172-4971-A12B-985ECD03BB2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3172-4971-A12B-985ECD03BB2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3172-4971-A12B-985ECD03BB2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3172-4971-A12B-985ECD03BB2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3172-4971-A12B-985ECD03BB2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3172-4971-A12B-985ECD03BB2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3172-4971-A12B-985ECD03BB2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3172-4971-A12B-985ECD03BB2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3172-4971-A12B-985ECD03BB2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3172-4971-A12B-985ECD03BB2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3172-4971-A12B-985ECD03BB2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3172-4971-A12B-985ECD03BB2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3172-4971-A12B-985ECD03BB2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3172-4971-A12B-985ECD03BB2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3172-4971-A12B-985ECD03BB2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3172-4971-A12B-985ECD03BB2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3172-4971-A12B-985ECD03BB2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3172-4971-A12B-985ECD03BB2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3172-4971-A12B-985ECD03BB2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3172-4971-A12B-985ECD03BB2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3172-4971-A12B-985ECD03BB2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3172-4971-A12B-985ECD03BB2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3172-4971-A12B-985ECD03BB22}"/>
              </c:ext>
            </c:extLst>
          </c:dPt>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Slicer'!$E$9:$E$120</c:f>
              <c:numCache>
                <c:formatCode>General</c:formatCode>
                <c:ptCount val="108"/>
                <c:pt idx="0">
                  <c:v>62</c:v>
                </c:pt>
                <c:pt idx="1">
                  <c:v>7104</c:v>
                </c:pt>
                <c:pt idx="2">
                  <c:v>56</c:v>
                </c:pt>
                <c:pt idx="3">
                  <c:v>1043</c:v>
                </c:pt>
                <c:pt idx="4">
                  <c:v>1393</c:v>
                </c:pt>
                <c:pt idx="5">
                  <c:v>316</c:v>
                </c:pt>
                <c:pt idx="6">
                  <c:v>3350</c:v>
                </c:pt>
                <c:pt idx="7">
                  <c:v>2</c:v>
                </c:pt>
                <c:pt idx="8">
                  <c:v>10523</c:v>
                </c:pt>
                <c:pt idx="9">
                  <c:v>737</c:v>
                </c:pt>
                <c:pt idx="10">
                  <c:v>4302</c:v>
                </c:pt>
                <c:pt idx="11">
                  <c:v>2899</c:v>
                </c:pt>
                <c:pt idx="12">
                  <c:v>931</c:v>
                </c:pt>
                <c:pt idx="13">
                  <c:v>1880</c:v>
                </c:pt>
                <c:pt idx="14">
                  <c:v>1027</c:v>
                </c:pt>
                <c:pt idx="15">
                  <c:v>12081</c:v>
                </c:pt>
                <c:pt idx="16">
                  <c:v>3042</c:v>
                </c:pt>
                <c:pt idx="17">
                  <c:v>127</c:v>
                </c:pt>
                <c:pt idx="18">
                  <c:v>0</c:v>
                </c:pt>
                <c:pt idx="19">
                  <c:v>3595</c:v>
                </c:pt>
                <c:pt idx="20">
                  <c:v>49463</c:v>
                </c:pt>
                <c:pt idx="21">
                  <c:v>354</c:v>
                </c:pt>
                <c:pt idx="22">
                  <c:v>139</c:v>
                </c:pt>
                <c:pt idx="23">
                  <c:v>8</c:v>
                </c:pt>
                <c:pt idx="24">
                  <c:v>79</c:v>
                </c:pt>
                <c:pt idx="25">
                  <c:v>1871</c:v>
                </c:pt>
                <c:pt idx="26">
                  <c:v>633</c:v>
                </c:pt>
                <c:pt idx="27">
                  <c:v>5331</c:v>
                </c:pt>
                <c:pt idx="28">
                  <c:v>2689</c:v>
                </c:pt>
                <c:pt idx="29">
                  <c:v>127</c:v>
                </c:pt>
                <c:pt idx="30">
                  <c:v>12109</c:v>
                </c:pt>
                <c:pt idx="31">
                  <c:v>1541</c:v>
                </c:pt>
                <c:pt idx="32">
                  <c:v>385</c:v>
                </c:pt>
                <c:pt idx="33">
                  <c:v>8352</c:v>
                </c:pt>
                <c:pt idx="34">
                  <c:v>1504</c:v>
                </c:pt>
                <c:pt idx="35">
                  <c:v>9683</c:v>
                </c:pt>
                <c:pt idx="36">
                  <c:v>129</c:v>
                </c:pt>
                <c:pt idx="37">
                  <c:v>14493</c:v>
                </c:pt>
                <c:pt idx="38">
                  <c:v>280</c:v>
                </c:pt>
                <c:pt idx="39">
                  <c:v>6164</c:v>
                </c:pt>
                <c:pt idx="40">
                  <c:v>12096</c:v>
                </c:pt>
                <c:pt idx="41">
                  <c:v>1079</c:v>
                </c:pt>
                <c:pt idx="42">
                  <c:v>13600</c:v>
                </c:pt>
                <c:pt idx="43">
                  <c:v>4</c:v>
                </c:pt>
                <c:pt idx="44">
                  <c:v>25107</c:v>
                </c:pt>
                <c:pt idx="45">
                  <c:v>3521</c:v>
                </c:pt>
                <c:pt idx="46">
                  <c:v>10118</c:v>
                </c:pt>
                <c:pt idx="47">
                  <c:v>10063</c:v>
                </c:pt>
                <c:pt idx="48">
                  <c:v>3875</c:v>
                </c:pt>
                <c:pt idx="49">
                  <c:v>4526</c:v>
                </c:pt>
                <c:pt idx="50">
                  <c:v>5143</c:v>
                </c:pt>
                <c:pt idx="51">
                  <c:v>38327</c:v>
                </c:pt>
                <c:pt idx="52">
                  <c:v>47441</c:v>
                </c:pt>
                <c:pt idx="53">
                  <c:v>219</c:v>
                </c:pt>
                <c:pt idx="54">
                  <c:v>51</c:v>
                </c:pt>
                <c:pt idx="55">
                  <c:v>10533</c:v>
                </c:pt>
                <c:pt idx="56">
                  <c:v>141518</c:v>
                </c:pt>
                <c:pt idx="57">
                  <c:v>2002</c:v>
                </c:pt>
                <c:pt idx="58">
                  <c:v>1484</c:v>
                </c:pt>
                <c:pt idx="59">
                  <c:v>542</c:v>
                </c:pt>
                <c:pt idx="60">
                  <c:v>702</c:v>
                </c:pt>
                <c:pt idx="61">
                  <c:v>8458</c:v>
                </c:pt>
                <c:pt idx="62">
                  <c:v>1881</c:v>
                </c:pt>
                <c:pt idx="63">
                  <c:v>16644</c:v>
                </c:pt>
                <c:pt idx="64">
                  <c:v>8963</c:v>
                </c:pt>
                <c:pt idx="65">
                  <c:v>409</c:v>
                </c:pt>
                <c:pt idx="66">
                  <c:v>36765</c:v>
                </c:pt>
                <c:pt idx="67">
                  <c:v>4025</c:v>
                </c:pt>
                <c:pt idx="68">
                  <c:v>829</c:v>
                </c:pt>
                <c:pt idx="69">
                  <c:v>22915</c:v>
                </c:pt>
                <c:pt idx="70">
                  <c:v>7417</c:v>
                </c:pt>
                <c:pt idx="71">
                  <c:v>19757</c:v>
                </c:pt>
                <c:pt idx="72">
                  <c:v>129</c:v>
                </c:pt>
                <c:pt idx="73">
                  <c:v>14733</c:v>
                </c:pt>
                <c:pt idx="74">
                  <c:v>296</c:v>
                </c:pt>
                <c:pt idx="75">
                  <c:v>8035</c:v>
                </c:pt>
                <c:pt idx="76">
                  <c:v>12302</c:v>
                </c:pt>
                <c:pt idx="77">
                  <c:v>1181</c:v>
                </c:pt>
                <c:pt idx="78">
                  <c:v>14146</c:v>
                </c:pt>
                <c:pt idx="79">
                  <c:v>4</c:v>
                </c:pt>
                <c:pt idx="80">
                  <c:v>26521</c:v>
                </c:pt>
                <c:pt idx="81">
                  <c:v>4013</c:v>
                </c:pt>
                <c:pt idx="82">
                  <c:v>11043</c:v>
                </c:pt>
                <c:pt idx="83">
                  <c:v>10714</c:v>
                </c:pt>
                <c:pt idx="84">
                  <c:v>4213</c:v>
                </c:pt>
                <c:pt idx="85">
                  <c:v>4785</c:v>
                </c:pt>
                <c:pt idx="86">
                  <c:v>5331</c:v>
                </c:pt>
                <c:pt idx="87">
                  <c:v>40307</c:v>
                </c:pt>
                <c:pt idx="88">
                  <c:v>71555</c:v>
                </c:pt>
                <c:pt idx="89">
                  <c:v>231</c:v>
                </c:pt>
                <c:pt idx="90">
                  <c:v>52</c:v>
                </c:pt>
                <c:pt idx="91">
                  <c:v>10776</c:v>
                </c:pt>
                <c:pt idx="92">
                  <c:v>148417</c:v>
                </c:pt>
                <c:pt idx="93">
                  <c:v>2149</c:v>
                </c:pt>
                <c:pt idx="94">
                  <c:v>1624</c:v>
                </c:pt>
                <c:pt idx="95">
                  <c:v>726</c:v>
                </c:pt>
                <c:pt idx="96">
                  <c:v>782</c:v>
                </c:pt>
                <c:pt idx="97">
                  <c:v>9205</c:v>
                </c:pt>
                <c:pt idx="98">
                  <c:v>1975</c:v>
                </c:pt>
                <c:pt idx="99">
                  <c:v>19289</c:v>
                </c:pt>
                <c:pt idx="100">
                  <c:v>9653</c:v>
                </c:pt>
                <c:pt idx="101">
                  <c:v>499</c:v>
                </c:pt>
                <c:pt idx="102">
                  <c:v>38049</c:v>
                </c:pt>
                <c:pt idx="103">
                  <c:v>4111</c:v>
                </c:pt>
                <c:pt idx="104">
                  <c:v>940</c:v>
                </c:pt>
                <c:pt idx="105">
                  <c:v>23633</c:v>
                </c:pt>
                <c:pt idx="106">
                  <c:v>7751</c:v>
                </c:pt>
                <c:pt idx="107">
                  <c:v>21532</c:v>
                </c:pt>
              </c:numCache>
            </c:numRef>
          </c:val>
          <c:extLst>
            <c:ext xmlns:c16="http://schemas.microsoft.com/office/drawing/2014/chart" uri="{C3380CC4-5D6E-409C-BE32-E72D297353CC}">
              <c16:uniqueId val="{000000DA-E50F-425F-84BC-F2D98EABDCE3}"/>
            </c:ext>
          </c:extLst>
        </c:ser>
        <c:ser>
          <c:idx val="3"/>
          <c:order val="3"/>
          <c:tx>
            <c:strRef>
              <c:f>'Pivot Table &amp; Slicer'!$F$8</c:f>
              <c:strCache>
                <c:ptCount val="1"/>
                <c:pt idx="0">
                  <c:v>Sum of Cases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DC-E50F-425F-84BC-F2D98EABDC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DE-E50F-425F-84BC-F2D98EABDC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E0-E50F-425F-84BC-F2D98EABDC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E2-E50F-425F-84BC-F2D98EABDC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E4-E50F-425F-84BC-F2D98EABDC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E6-E50F-425F-84BC-F2D98EABDCE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8-E50F-425F-84BC-F2D98EABDCE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A-E50F-425F-84BC-F2D98EABDCE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C-E50F-425F-84BC-F2D98EABDCE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E-E50F-425F-84BC-F2D98EABDCE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F0-E50F-425F-84BC-F2D98EABDCE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F2-E50F-425F-84BC-F2D98EABDCE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4-E50F-425F-84BC-F2D98EABDCE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6-E50F-425F-84BC-F2D98EABDCE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8-E50F-425F-84BC-F2D98EABDCE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A-E50F-425F-84BC-F2D98EABDCE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C-E50F-425F-84BC-F2D98EABDCE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E-E50F-425F-84BC-F2D98EABDCE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00-E50F-425F-84BC-F2D98EABDCE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02-E50F-425F-84BC-F2D98EABDCE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4-E50F-425F-84BC-F2D98EABDCE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6-E50F-425F-84BC-F2D98EABDCE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8-E50F-425F-84BC-F2D98EABDCE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A-E50F-425F-84BC-F2D98EABDCE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C-E50F-425F-84BC-F2D98EABDCE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E-E50F-425F-84BC-F2D98EABDCE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10-E50F-425F-84BC-F2D98EABDCE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12-E50F-425F-84BC-F2D98EABDCE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4-E50F-425F-84BC-F2D98EABDCE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6-E50F-425F-84BC-F2D98EABDCE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8-E50F-425F-84BC-F2D98EABDCE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A-E50F-425F-84BC-F2D98EABDCE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C-E50F-425F-84BC-F2D98EABDCE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E-E50F-425F-84BC-F2D98EABDCE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20-E50F-425F-84BC-F2D98EABDCE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22-E50F-425F-84BC-F2D98EABDCE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3172-4971-A12B-985ECD03BB2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3172-4971-A12B-985ECD03BB2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3172-4971-A12B-985ECD03BB2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3172-4971-A12B-985ECD03BB2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3172-4971-A12B-985ECD03BB2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3172-4971-A12B-985ECD03BB2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3172-4971-A12B-985ECD03BB2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3172-4971-A12B-985ECD03BB2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3172-4971-A12B-985ECD03BB2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3172-4971-A12B-985ECD03BB2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3172-4971-A12B-985ECD03BB2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3172-4971-A12B-985ECD03BB2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3172-4971-A12B-985ECD03BB2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3172-4971-A12B-985ECD03BB2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3172-4971-A12B-985ECD03BB2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3172-4971-A12B-985ECD03BB2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3172-4971-A12B-985ECD03BB2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3172-4971-A12B-985ECD03BB2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F5-3172-4971-A12B-985ECD03BB2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F7-3172-4971-A12B-985ECD03BB2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F9-3172-4971-A12B-985ECD03BB2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FB-3172-4971-A12B-985ECD03BB2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FD-3172-4971-A12B-985ECD03BB2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FF-3172-4971-A12B-985ECD03BB2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3172-4971-A12B-985ECD03BB2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3172-4971-A12B-985ECD03BB2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3172-4971-A12B-985ECD03BB2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3172-4971-A12B-985ECD03BB2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3172-4971-A12B-985ECD03BB2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3172-4971-A12B-985ECD03BB2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3172-4971-A12B-985ECD03BB2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3172-4971-A12B-985ECD03BB2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3172-4971-A12B-985ECD03BB2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3172-4971-A12B-985ECD03BB2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3172-4971-A12B-985ECD03BB2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3172-4971-A12B-985ECD03BB2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3172-4971-A12B-985ECD03BB2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3172-4971-A12B-985ECD03BB2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3172-4971-A12B-985ECD03BB2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3172-4971-A12B-985ECD03BB2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3172-4971-A12B-985ECD03BB2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3172-4971-A12B-985ECD03BB2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3172-4971-A12B-985ECD03BB2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3172-4971-A12B-985ECD03BB2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3172-4971-A12B-985ECD03BB2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3172-4971-A12B-985ECD03BB2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3172-4971-A12B-985ECD03BB2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3172-4971-A12B-985ECD03BB2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3172-4971-A12B-985ECD03BB2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3172-4971-A12B-985ECD03BB2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3172-4971-A12B-985ECD03BB2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3172-4971-A12B-985ECD03BB2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3172-4971-A12B-985ECD03BB2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3172-4971-A12B-985ECD03BB2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3172-4971-A12B-985ECD03BB2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3172-4971-A12B-985ECD03BB2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3172-4971-A12B-985ECD03BB2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3172-4971-A12B-985ECD03BB2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3172-4971-A12B-985ECD03BB2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3172-4971-A12B-985ECD03BB2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3172-4971-A12B-985ECD03BB2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3172-4971-A12B-985ECD03BB2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3172-4971-A12B-985ECD03BB2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3172-4971-A12B-985ECD03BB2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3172-4971-A12B-985ECD03BB2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3172-4971-A12B-985ECD03BB2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3172-4971-A12B-985ECD03BB2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3172-4971-A12B-985ECD03BB2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3172-4971-A12B-985ECD03BB2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3172-4971-A12B-985ECD03BB2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3172-4971-A12B-985ECD03BB2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3172-4971-A12B-985ECD03BB22}"/>
              </c:ext>
            </c:extLst>
          </c:dPt>
          <c:cat>
            <c:multiLvlStrRef>
              <c:f>'Pivot Table &amp; Slicer'!$B$9:$B$120</c:f>
              <c:multiLvlStrCache>
                <c:ptCount val="108"/>
                <c:lvl>
                  <c:pt idx="0">
                    <c:v>Andaman and Nicobar Islands</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pt idx="36">
                    <c:v>Andaman and Nicobar Islands</c:v>
                  </c:pt>
                  <c:pt idx="37">
                    <c:v>Andhra Pradesh</c:v>
                  </c:pt>
                  <c:pt idx="38">
                    <c:v>Arunachal Pradesh</c:v>
                  </c:pt>
                  <c:pt idx="39">
                    <c:v>Assam</c:v>
                  </c:pt>
                  <c:pt idx="40">
                    <c:v>Bihar</c:v>
                  </c:pt>
                  <c:pt idx="41">
                    <c:v>Chandigarh</c:v>
                  </c:pt>
                  <c:pt idx="42">
                    <c:v>Chhattisgarh</c:v>
                  </c:pt>
                  <c:pt idx="43">
                    <c:v>Dadra and Nagar Haveli and Daman and Diu</c:v>
                  </c:pt>
                  <c:pt idx="44">
                    <c:v>Delhi</c:v>
                  </c:pt>
                  <c:pt idx="45">
                    <c:v>Goa</c:v>
                  </c:pt>
                  <c:pt idx="46">
                    <c:v>Gujarat</c:v>
                  </c:pt>
                  <c:pt idx="47">
                    <c:v>Haryana</c:v>
                  </c:pt>
                  <c:pt idx="48">
                    <c:v>Himachal Pradesh</c:v>
                  </c:pt>
                  <c:pt idx="49">
                    <c:v>Jammu and Kashmir</c:v>
                  </c:pt>
                  <c:pt idx="50">
                    <c:v>Jharkhand</c:v>
                  </c:pt>
                  <c:pt idx="51">
                    <c:v>Karnataka</c:v>
                  </c:pt>
                  <c:pt idx="52">
                    <c:v>Kerala</c:v>
                  </c:pt>
                  <c:pt idx="53">
                    <c:v>Ladakh</c:v>
                  </c:pt>
                  <c:pt idx="54">
                    <c:v>Lakshadweep</c:v>
                  </c:pt>
                  <c:pt idx="55">
                    <c:v>Madhya Pradesh</c:v>
                  </c:pt>
                  <c:pt idx="56">
                    <c:v>Maharashtra</c:v>
                  </c:pt>
                  <c:pt idx="57">
                    <c:v>Manipur</c:v>
                  </c:pt>
                  <c:pt idx="58">
                    <c:v>Meghalaya</c:v>
                  </c:pt>
                  <c:pt idx="59">
                    <c:v>Mizoram</c:v>
                  </c:pt>
                  <c:pt idx="60">
                    <c:v>Nagaland</c:v>
                  </c:pt>
                  <c:pt idx="61">
                    <c:v>Odisha</c:v>
                  </c:pt>
                  <c:pt idx="62">
                    <c:v>Puducherry</c:v>
                  </c:pt>
                  <c:pt idx="63">
                    <c:v>Punjab</c:v>
                  </c:pt>
                  <c:pt idx="64">
                    <c:v>Rajasthan</c:v>
                  </c:pt>
                  <c:pt idx="65">
                    <c:v>Sikkim</c:v>
                  </c:pt>
                  <c:pt idx="66">
                    <c:v>Tamil Nadu</c:v>
                  </c:pt>
                  <c:pt idx="67">
                    <c:v>Telangana</c:v>
                  </c:pt>
                  <c:pt idx="68">
                    <c:v>Tripura</c:v>
                  </c:pt>
                  <c:pt idx="69">
                    <c:v>Uttar Pradesh</c:v>
                  </c:pt>
                  <c:pt idx="70">
                    <c:v>Uttarakhand</c:v>
                  </c:pt>
                  <c:pt idx="71">
                    <c:v>West Bengal</c:v>
                  </c:pt>
                  <c:pt idx="72">
                    <c:v>Andaman and Nicobar Islands</c:v>
                  </c:pt>
                  <c:pt idx="73">
                    <c:v>Andhra Pradesh</c:v>
                  </c:pt>
                  <c:pt idx="74">
                    <c:v>Arunachal Pradesh</c:v>
                  </c:pt>
                  <c:pt idx="75">
                    <c:v>Assam</c:v>
                  </c:pt>
                  <c:pt idx="76">
                    <c:v>Bihar</c:v>
                  </c:pt>
                  <c:pt idx="77">
                    <c:v>Chandigarh</c:v>
                  </c:pt>
                  <c:pt idx="78">
                    <c:v>Chhattisgarh</c:v>
                  </c:pt>
                  <c:pt idx="79">
                    <c:v>Dadra and Nagar Haveli and Daman and Diu</c:v>
                  </c:pt>
                  <c:pt idx="80">
                    <c:v>Delhi</c:v>
                  </c:pt>
                  <c:pt idx="81">
                    <c:v>Goa</c:v>
                  </c:pt>
                  <c:pt idx="82">
                    <c:v>Gujarat</c:v>
                  </c:pt>
                  <c:pt idx="83">
                    <c:v>Haryana</c:v>
                  </c:pt>
                  <c:pt idx="84">
                    <c:v>Himachal Pradesh</c:v>
                  </c:pt>
                  <c:pt idx="85">
                    <c:v>Jammu and Kashmir</c:v>
                  </c:pt>
                  <c:pt idx="86">
                    <c:v>Jharkhand</c:v>
                  </c:pt>
                  <c:pt idx="87">
                    <c:v>Karnataka</c:v>
                  </c:pt>
                  <c:pt idx="88">
                    <c:v>Kerala</c:v>
                  </c:pt>
                  <c:pt idx="89">
                    <c:v>Ladakh</c:v>
                  </c:pt>
                  <c:pt idx="90">
                    <c:v>Lakshadweep</c:v>
                  </c:pt>
                  <c:pt idx="91">
                    <c:v>Madhya Pradesh</c:v>
                  </c:pt>
                  <c:pt idx="92">
                    <c:v>Maharashtra</c:v>
                  </c:pt>
                  <c:pt idx="93">
                    <c:v>Manipur</c:v>
                  </c:pt>
                  <c:pt idx="94">
                    <c:v>Meghalaya</c:v>
                  </c:pt>
                  <c:pt idx="95">
                    <c:v>Mizoram</c:v>
                  </c:pt>
                  <c:pt idx="96">
                    <c:v>Nagaland</c:v>
                  </c:pt>
                  <c:pt idx="97">
                    <c:v>Odisha</c:v>
                  </c:pt>
                  <c:pt idx="98">
                    <c:v>Puducherry</c:v>
                  </c:pt>
                  <c:pt idx="99">
                    <c:v>Punjab</c:v>
                  </c:pt>
                  <c:pt idx="100">
                    <c:v>Rajasthan</c:v>
                  </c:pt>
                  <c:pt idx="101">
                    <c:v>Sikkim</c:v>
                  </c:pt>
                  <c:pt idx="102">
                    <c:v>Tamil Nadu</c:v>
                  </c:pt>
                  <c:pt idx="103">
                    <c:v>Telangana</c:v>
                  </c:pt>
                  <c:pt idx="104">
                    <c:v>Tripura</c:v>
                  </c:pt>
                  <c:pt idx="105">
                    <c:v>Uttar Pradesh</c:v>
                  </c:pt>
                  <c:pt idx="106">
                    <c:v>Uttarakhand</c:v>
                  </c:pt>
                  <c:pt idx="107">
                    <c:v>West Bengal</c:v>
                  </c:pt>
                </c:lvl>
                <c:lvl>
                  <c:pt idx="0">
                    <c:v>2020</c:v>
                  </c:pt>
                  <c:pt idx="36">
                    <c:v>2021</c:v>
                  </c:pt>
                  <c:pt idx="72">
                    <c:v>2022</c:v>
                  </c:pt>
                </c:lvl>
              </c:multiLvlStrCache>
            </c:multiLvlStrRef>
          </c:cat>
          <c:val>
            <c:numRef>
              <c:f>'Pivot Table &amp; Slicer'!$F$9:$F$120</c:f>
              <c:numCache>
                <c:formatCode>General</c:formatCode>
                <c:ptCount val="108"/>
                <c:pt idx="0">
                  <c:v>4941</c:v>
                </c:pt>
                <c:pt idx="1">
                  <c:v>881948</c:v>
                </c:pt>
                <c:pt idx="2">
                  <c:v>16711</c:v>
                </c:pt>
                <c:pt idx="3">
                  <c:v>216139</c:v>
                </c:pt>
                <c:pt idx="4">
                  <c:v>251348</c:v>
                </c:pt>
                <c:pt idx="5">
                  <c:v>19682</c:v>
                </c:pt>
                <c:pt idx="6">
                  <c:v>278540</c:v>
                </c:pt>
                <c:pt idx="7">
                  <c:v>3375</c:v>
                </c:pt>
                <c:pt idx="8">
                  <c:v>624795</c:v>
                </c:pt>
                <c:pt idx="9">
                  <c:v>50981</c:v>
                </c:pt>
                <c:pt idx="10">
                  <c:v>244258</c:v>
                </c:pt>
                <c:pt idx="11">
                  <c:v>262054</c:v>
                </c:pt>
                <c:pt idx="12">
                  <c:v>55114</c:v>
                </c:pt>
                <c:pt idx="13">
                  <c:v>120744</c:v>
                </c:pt>
                <c:pt idx="14">
                  <c:v>114873</c:v>
                </c:pt>
                <c:pt idx="15">
                  <c:v>918544</c:v>
                </c:pt>
                <c:pt idx="16">
                  <c:v>755718</c:v>
                </c:pt>
                <c:pt idx="17">
                  <c:v>9447</c:v>
                </c:pt>
                <c:pt idx="18">
                  <c:v>0</c:v>
                </c:pt>
                <c:pt idx="19">
                  <c:v>240947</c:v>
                </c:pt>
                <c:pt idx="20">
                  <c:v>1928603</c:v>
                </c:pt>
                <c:pt idx="21">
                  <c:v>28137</c:v>
                </c:pt>
                <c:pt idx="22">
                  <c:v>13408</c:v>
                </c:pt>
                <c:pt idx="23">
                  <c:v>4204</c:v>
                </c:pt>
                <c:pt idx="24">
                  <c:v>11921</c:v>
                </c:pt>
                <c:pt idx="25">
                  <c:v>329306</c:v>
                </c:pt>
                <c:pt idx="26">
                  <c:v>38096</c:v>
                </c:pt>
                <c:pt idx="27">
                  <c:v>166239</c:v>
                </c:pt>
                <c:pt idx="28">
                  <c:v>307554</c:v>
                </c:pt>
                <c:pt idx="29">
                  <c:v>5877</c:v>
                </c:pt>
                <c:pt idx="30">
                  <c:v>817077</c:v>
                </c:pt>
                <c:pt idx="31">
                  <c:v>286354</c:v>
                </c:pt>
                <c:pt idx="32">
                  <c:v>33264</c:v>
                </c:pt>
                <c:pt idx="33">
                  <c:v>584966</c:v>
                </c:pt>
                <c:pt idx="34">
                  <c:v>90616</c:v>
                </c:pt>
                <c:pt idx="35">
                  <c:v>550893</c:v>
                </c:pt>
                <c:pt idx="36">
                  <c:v>7720</c:v>
                </c:pt>
                <c:pt idx="37">
                  <c:v>2076979</c:v>
                </c:pt>
                <c:pt idx="38">
                  <c:v>55339</c:v>
                </c:pt>
                <c:pt idx="39">
                  <c:v>620573</c:v>
                </c:pt>
                <c:pt idx="40">
                  <c:v>726738</c:v>
                </c:pt>
                <c:pt idx="41">
                  <c:v>65846</c:v>
                </c:pt>
                <c:pt idx="42">
                  <c:v>1007997</c:v>
                </c:pt>
                <c:pt idx="43">
                  <c:v>10691</c:v>
                </c:pt>
                <c:pt idx="44">
                  <c:v>1446415</c:v>
                </c:pt>
                <c:pt idx="45">
                  <c:v>180660</c:v>
                </c:pt>
                <c:pt idx="46">
                  <c:v>831078</c:v>
                </c:pt>
                <c:pt idx="47">
                  <c:v>773361</c:v>
                </c:pt>
                <c:pt idx="48">
                  <c:v>228770</c:v>
                </c:pt>
                <c:pt idx="49">
                  <c:v>341167</c:v>
                </c:pt>
                <c:pt idx="50">
                  <c:v>350986</c:v>
                </c:pt>
                <c:pt idx="51">
                  <c:v>3006505</c:v>
                </c:pt>
                <c:pt idx="52">
                  <c:v>5244501</c:v>
                </c:pt>
                <c:pt idx="53">
                  <c:v>22173</c:v>
                </c:pt>
                <c:pt idx="54">
                  <c:v>10416</c:v>
                </c:pt>
                <c:pt idx="55">
                  <c:v>793888</c:v>
                </c:pt>
                <c:pt idx="56">
                  <c:v>6670754</c:v>
                </c:pt>
                <c:pt idx="57">
                  <c:v>125778</c:v>
                </c:pt>
                <c:pt idx="58">
                  <c:v>84817</c:v>
                </c:pt>
                <c:pt idx="59">
                  <c:v>141400</c:v>
                </c:pt>
                <c:pt idx="60">
                  <c:v>32191</c:v>
                </c:pt>
                <c:pt idx="61">
                  <c:v>1054606</c:v>
                </c:pt>
                <c:pt idx="62">
                  <c:v>129461</c:v>
                </c:pt>
                <c:pt idx="63">
                  <c:v>604594</c:v>
                </c:pt>
                <c:pt idx="64">
                  <c:v>956019</c:v>
                </c:pt>
                <c:pt idx="65">
                  <c:v>32502</c:v>
                </c:pt>
                <c:pt idx="66">
                  <c:v>2746890</c:v>
                </c:pt>
                <c:pt idx="67">
                  <c:v>681587</c:v>
                </c:pt>
                <c:pt idx="68">
                  <c:v>85069</c:v>
                </c:pt>
                <c:pt idx="69">
                  <c:v>1711359</c:v>
                </c:pt>
                <c:pt idx="70">
                  <c:v>344940</c:v>
                </c:pt>
                <c:pt idx="71">
                  <c:v>1635034</c:v>
                </c:pt>
                <c:pt idx="72">
                  <c:v>10746</c:v>
                </c:pt>
                <c:pt idx="73">
                  <c:v>2349069</c:v>
                </c:pt>
                <c:pt idx="74">
                  <c:v>66890</c:v>
                </c:pt>
                <c:pt idx="75">
                  <c:v>746100</c:v>
                </c:pt>
                <c:pt idx="76">
                  <c:v>851388</c:v>
                </c:pt>
                <c:pt idx="77">
                  <c:v>99349</c:v>
                </c:pt>
                <c:pt idx="78">
                  <c:v>1177754</c:v>
                </c:pt>
                <c:pt idx="79">
                  <c:v>11591</c:v>
                </c:pt>
                <c:pt idx="80">
                  <c:v>2007208</c:v>
                </c:pt>
                <c:pt idx="81">
                  <c:v>263084</c:v>
                </c:pt>
                <c:pt idx="82">
                  <c:v>1277569</c:v>
                </c:pt>
                <c:pt idx="83">
                  <c:v>1056611</c:v>
                </c:pt>
                <c:pt idx="84">
                  <c:v>312647</c:v>
                </c:pt>
                <c:pt idx="85">
                  <c:v>479417</c:v>
                </c:pt>
                <c:pt idx="86">
                  <c:v>443571</c:v>
                </c:pt>
                <c:pt idx="87">
                  <c:v>4076670</c:v>
                </c:pt>
                <c:pt idx="88">
                  <c:v>6828376</c:v>
                </c:pt>
                <c:pt idx="89">
                  <c:v>29412</c:v>
                </c:pt>
                <c:pt idx="90">
                  <c:v>11415</c:v>
                </c:pt>
                <c:pt idx="91">
                  <c:v>1054919</c:v>
                </c:pt>
                <c:pt idx="92">
                  <c:v>8136633</c:v>
                </c:pt>
                <c:pt idx="93">
                  <c:v>139922</c:v>
                </c:pt>
                <c:pt idx="94">
                  <c:v>96783</c:v>
                </c:pt>
                <c:pt idx="95">
                  <c:v>238964</c:v>
                </c:pt>
                <c:pt idx="96">
                  <c:v>35986</c:v>
                </c:pt>
                <c:pt idx="97">
                  <c:v>1336563</c:v>
                </c:pt>
                <c:pt idx="98">
                  <c:v>175512</c:v>
                </c:pt>
                <c:pt idx="99">
                  <c:v>784210</c:v>
                </c:pt>
                <c:pt idx="100">
                  <c:v>1315466</c:v>
                </c:pt>
                <c:pt idx="101">
                  <c:v>44319</c:v>
                </c:pt>
                <c:pt idx="102">
                  <c:v>3595415</c:v>
                </c:pt>
                <c:pt idx="103">
                  <c:v>841839</c:v>
                </c:pt>
                <c:pt idx="104">
                  <c:v>108034</c:v>
                </c:pt>
                <c:pt idx="105">
                  <c:v>2128104</c:v>
                </c:pt>
                <c:pt idx="106">
                  <c:v>449389</c:v>
                </c:pt>
                <c:pt idx="107">
                  <c:v>2118617</c:v>
                </c:pt>
              </c:numCache>
            </c:numRef>
          </c:val>
          <c:extLst>
            <c:ext xmlns:c16="http://schemas.microsoft.com/office/drawing/2014/chart" uri="{C3380CC4-5D6E-409C-BE32-E72D297353CC}">
              <c16:uniqueId val="{00000123-E50F-425F-84BC-F2D98EABDC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13607</xdr:colOff>
      <xdr:row>15</xdr:row>
      <xdr:rowOff>2722</xdr:rowOff>
    </xdr:from>
    <xdr:to>
      <xdr:col>10</xdr:col>
      <xdr:colOff>55335</xdr:colOff>
      <xdr:row>29</xdr:row>
      <xdr:rowOff>82094</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1C1EDF73-3BA2-1491-6D66-1F6C19E9F4D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58678" y="2724151"/>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4534</xdr:colOff>
      <xdr:row>0</xdr:row>
      <xdr:rowOff>166007</xdr:rowOff>
    </xdr:from>
    <xdr:to>
      <xdr:col>9</xdr:col>
      <xdr:colOff>0</xdr:colOff>
      <xdr:row>4</xdr:row>
      <xdr:rowOff>154215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877557C-54BC-B0E1-6AFE-0DDA6C2947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74177" y="166007"/>
              <a:ext cx="3905252" cy="713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598741</xdr:colOff>
      <xdr:row>6</xdr:row>
      <xdr:rowOff>181573</xdr:rowOff>
    </xdr:from>
    <xdr:to>
      <xdr:col>9</xdr:col>
      <xdr:colOff>344741</xdr:colOff>
      <xdr:row>21</xdr:row>
      <xdr:rowOff>73716</xdr:rowOff>
    </xdr:to>
    <xdr:graphicFrame macro="">
      <xdr:nvGraphicFramePr>
        <xdr:cNvPr id="4" name="Chart 3">
          <a:extLst>
            <a:ext uri="{FF2B5EF4-FFF2-40B4-BE49-F238E27FC236}">
              <a16:creationId xmlns:a16="http://schemas.microsoft.com/office/drawing/2014/main" id="{E7A514FD-D8DC-425E-A75D-F0F034F9E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0</xdr:rowOff>
    </xdr:from>
    <xdr:to>
      <xdr:col>18</xdr:col>
      <xdr:colOff>304800</xdr:colOff>
      <xdr:row>21</xdr:row>
      <xdr:rowOff>165100</xdr:rowOff>
    </xdr:to>
    <xdr:graphicFrame macro="">
      <xdr:nvGraphicFramePr>
        <xdr:cNvPr id="6" name="Chart 5">
          <a:extLst>
            <a:ext uri="{FF2B5EF4-FFF2-40B4-BE49-F238E27FC236}">
              <a16:creationId xmlns:a16="http://schemas.microsoft.com/office/drawing/2014/main" id="{4AAFC7FD-6DE3-4A4D-AF7E-0012E113E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0.619595254633" createdVersion="8" refreshedVersion="8" minRefreshableVersion="3" recordCount="108" xr:uid="{960247A7-6981-4567-835B-BF8FD37FD1CF}">
  <cacheSource type="worksheet">
    <worksheetSource name="Table1"/>
  </cacheSource>
  <cacheFields count="6">
    <cacheField name="State" numFmtId="0">
      <sharedItems count="36">
        <s v="Andaman and Nicobar Islands"/>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angana"/>
        <s v="Tripura"/>
        <s v="Uttar Pradesh"/>
        <s v="Uttarakhand"/>
        <s v="West Bengal"/>
      </sharedItems>
    </cacheField>
    <cacheField name="Year" numFmtId="0">
      <sharedItems containsSemiMixedTypes="0" containsString="0" containsNumber="1" containsInteger="1" minValue="2020" maxValue="2022" count="3">
        <n v="2020"/>
        <n v="2021"/>
        <n v="2022"/>
      </sharedItems>
    </cacheField>
    <cacheField name="Cases" numFmtId="0">
      <sharedItems containsSemiMixedTypes="0" containsString="0" containsNumber="1" containsInteger="1" minValue="0" maxValue="8136633"/>
    </cacheField>
    <cacheField name="Deaths" numFmtId="0">
      <sharedItems containsSemiMixedTypes="0" containsString="0" containsNumber="1" containsInteger="1" minValue="0" maxValue="148417"/>
    </cacheField>
    <cacheField name="Recovered" numFmtId="0">
      <sharedItems containsSemiMixedTypes="0" containsString="0" containsNumber="1" containsInteger="1" minValue="0" maxValue="7988044"/>
    </cacheField>
    <cacheField name="Vaccinated" numFmtId="0">
      <sharedItems containsSemiMixedTypes="0" containsString="0" containsNumber="1" containsInteger="1" minValue="0" maxValue="392014913"/>
    </cacheField>
  </cacheFields>
  <extLst>
    <ext xmlns:x14="http://schemas.microsoft.com/office/spreadsheetml/2009/9/main" uri="{725AE2AE-9491-48be-B2B4-4EB974FC3084}">
      <x14:pivotCacheDefinition pivotCacheId="1479872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4941"/>
    <n v="62"/>
    <n v="4820"/>
    <n v="0"/>
  </r>
  <r>
    <x v="0"/>
    <x v="1"/>
    <n v="7720"/>
    <n v="129"/>
    <n v="7582"/>
    <n v="592837"/>
  </r>
  <r>
    <x v="0"/>
    <x v="2"/>
    <n v="10746"/>
    <n v="129"/>
    <n v="10612"/>
    <n v="991263"/>
  </r>
  <r>
    <x v="1"/>
    <x v="0"/>
    <n v="881948"/>
    <n v="7104"/>
    <n v="871588"/>
    <n v="0"/>
  </r>
  <r>
    <x v="1"/>
    <x v="1"/>
    <n v="2076979"/>
    <n v="14493"/>
    <n v="2061405"/>
    <n v="68894212"/>
  </r>
  <r>
    <x v="1"/>
    <x v="2"/>
    <n v="2349069"/>
    <n v="14733"/>
    <n v="2324332"/>
    <n v="110655938"/>
  </r>
  <r>
    <x v="2"/>
    <x v="0"/>
    <n v="16711"/>
    <n v="56"/>
    <n v="16549"/>
    <n v="0"/>
  </r>
  <r>
    <x v="2"/>
    <x v="1"/>
    <n v="55339"/>
    <n v="280"/>
    <n v="55038"/>
    <n v="1461358"/>
  </r>
  <r>
    <x v="2"/>
    <x v="2"/>
    <n v="66890"/>
    <n v="296"/>
    <n v="66594"/>
    <n v="1923512"/>
  </r>
  <r>
    <x v="3"/>
    <x v="0"/>
    <n v="216139"/>
    <n v="1043"/>
    <n v="211838"/>
    <n v="0"/>
  </r>
  <r>
    <x v="3"/>
    <x v="1"/>
    <n v="620573"/>
    <n v="6164"/>
    <n v="612282"/>
    <n v="37549618"/>
  </r>
  <r>
    <x v="3"/>
    <x v="2"/>
    <n v="746100"/>
    <n v="8035"/>
    <n v="738065"/>
    <n v="50325492"/>
  </r>
  <r>
    <x v="4"/>
    <x v="0"/>
    <n v="251348"/>
    <n v="1393"/>
    <n v="245156"/>
    <n v="0"/>
  </r>
  <r>
    <x v="4"/>
    <x v="1"/>
    <n v="726738"/>
    <n v="12096"/>
    <n v="714308"/>
    <n v="99824631"/>
  </r>
  <r>
    <x v="4"/>
    <x v="2"/>
    <n v="851388"/>
    <n v="12302"/>
    <n v="839062"/>
    <n v="157252874"/>
  </r>
  <r>
    <x v="5"/>
    <x v="0"/>
    <n v="19682"/>
    <n v="316"/>
    <n v="18967"/>
    <n v="0"/>
  </r>
  <r>
    <x v="5"/>
    <x v="1"/>
    <n v="65846"/>
    <n v="1079"/>
    <n v="64638"/>
    <n v="1923051"/>
  </r>
  <r>
    <x v="5"/>
    <x v="2"/>
    <n v="99349"/>
    <n v="1181"/>
    <n v="98162"/>
    <n v="2289417"/>
  </r>
  <r>
    <x v="6"/>
    <x v="0"/>
    <n v="278540"/>
    <n v="3350"/>
    <n v="263251"/>
    <n v="0"/>
  </r>
  <r>
    <x v="6"/>
    <x v="1"/>
    <n v="1007997"/>
    <n v="13600"/>
    <n v="993800"/>
    <n v="31698374"/>
  </r>
  <r>
    <x v="6"/>
    <x v="2"/>
    <n v="1177754"/>
    <n v="14146"/>
    <n v="1163602"/>
    <n v="49157832"/>
  </r>
  <r>
    <x v="7"/>
    <x v="0"/>
    <n v="3375"/>
    <n v="2"/>
    <n v="3364"/>
    <n v="0"/>
  </r>
  <r>
    <x v="7"/>
    <x v="1"/>
    <n v="10691"/>
    <n v="4"/>
    <n v="10687"/>
    <n v="1294822"/>
  </r>
  <r>
    <x v="7"/>
    <x v="2"/>
    <n v="11591"/>
    <n v="4"/>
    <n v="11587"/>
    <n v="1582914"/>
  </r>
  <r>
    <x v="8"/>
    <x v="0"/>
    <n v="624795"/>
    <n v="10523"/>
    <n v="608434"/>
    <n v="0"/>
  </r>
  <r>
    <x v="8"/>
    <x v="1"/>
    <n v="1446415"/>
    <n v="25107"/>
    <n v="1418227"/>
    <n v="26183944"/>
  </r>
  <r>
    <x v="8"/>
    <x v="2"/>
    <n v="2007208"/>
    <n v="26521"/>
    <n v="1980657"/>
    <n v="37402619"/>
  </r>
  <r>
    <x v="9"/>
    <x v="0"/>
    <n v="50981"/>
    <n v="737"/>
    <n v="49313"/>
    <n v="0"/>
  </r>
  <r>
    <x v="9"/>
    <x v="1"/>
    <n v="180660"/>
    <n v="3521"/>
    <n v="176283"/>
    <n v="2589341"/>
  </r>
  <r>
    <x v="9"/>
    <x v="2"/>
    <n v="263084"/>
    <n v="4013"/>
    <n v="255050"/>
    <n v="2874312"/>
  </r>
  <r>
    <x v="10"/>
    <x v="0"/>
    <n v="244258"/>
    <n v="4302"/>
    <n v="229977"/>
    <n v="0"/>
  </r>
  <r>
    <x v="10"/>
    <x v="1"/>
    <n v="831078"/>
    <n v="10118"/>
    <n v="818589"/>
    <n v="89563214"/>
  </r>
  <r>
    <x v="10"/>
    <x v="2"/>
    <n v="1277569"/>
    <n v="11043"/>
    <n v="1266479"/>
    <n v="128084122"/>
  </r>
  <r>
    <x v="11"/>
    <x v="0"/>
    <n v="262054"/>
    <n v="2899"/>
    <n v="255356"/>
    <n v="0"/>
  </r>
  <r>
    <x v="11"/>
    <x v="1"/>
    <n v="773361"/>
    <n v="10063"/>
    <n v="762228"/>
    <n v="34493121"/>
  </r>
  <r>
    <x v="11"/>
    <x v="2"/>
    <n v="1056611"/>
    <n v="10714"/>
    <n v="1045854"/>
    <n v="45542894"/>
  </r>
  <r>
    <x v="12"/>
    <x v="0"/>
    <n v="55114"/>
    <n v="931"/>
    <n v="51387"/>
    <n v="0"/>
  </r>
  <r>
    <x v="12"/>
    <x v="1"/>
    <n v="228770"/>
    <n v="3875"/>
    <n v="224465"/>
    <n v="11342911"/>
  </r>
  <r>
    <x v="12"/>
    <x v="2"/>
    <n v="312647"/>
    <n v="4213"/>
    <n v="308418"/>
    <n v="15328491"/>
  </r>
  <r>
    <x v="13"/>
    <x v="0"/>
    <n v="120744"/>
    <n v="1880"/>
    <n v="115830"/>
    <n v="0"/>
  </r>
  <r>
    <x v="13"/>
    <x v="1"/>
    <n v="341167"/>
    <n v="4526"/>
    <n v="335347"/>
    <n v="18563122"/>
  </r>
  <r>
    <x v="13"/>
    <x v="2"/>
    <n v="479417"/>
    <n v="4785"/>
    <n v="474610"/>
    <n v="24784912"/>
  </r>
  <r>
    <x v="14"/>
    <x v="0"/>
    <n v="114873"/>
    <n v="1027"/>
    <n v="112206"/>
    <n v="0"/>
  </r>
  <r>
    <x v="14"/>
    <x v="1"/>
    <n v="350986"/>
    <n v="5143"/>
    <n v="344472"/>
    <n v="29894213"/>
  </r>
  <r>
    <x v="14"/>
    <x v="2"/>
    <n v="443571"/>
    <n v="5331"/>
    <n v="437238"/>
    <n v="43892014"/>
  </r>
  <r>
    <x v="15"/>
    <x v="0"/>
    <n v="918544"/>
    <n v="12081"/>
    <n v="894834"/>
    <n v="0"/>
  </r>
  <r>
    <x v="15"/>
    <x v="1"/>
    <n v="3006505"/>
    <n v="38327"/>
    <n v="2959926"/>
    <n v="81294155"/>
  </r>
  <r>
    <x v="15"/>
    <x v="2"/>
    <n v="4076670"/>
    <n v="40307"/>
    <n v="4030363"/>
    <n v="122158913"/>
  </r>
  <r>
    <x v="16"/>
    <x v="0"/>
    <n v="755718"/>
    <n v="3042"/>
    <n v="687104"/>
    <n v="0"/>
  </r>
  <r>
    <x v="16"/>
    <x v="1"/>
    <n v="5244501"/>
    <n v="47441"/>
    <n v="5176535"/>
    <n v="46894231"/>
  </r>
  <r>
    <x v="16"/>
    <x v="2"/>
    <n v="6828376"/>
    <n v="71555"/>
    <n v="6755401"/>
    <n v="57523914"/>
  </r>
  <r>
    <x v="17"/>
    <x v="0"/>
    <n v="9447"/>
    <n v="127"/>
    <n v="9132"/>
    <n v="0"/>
  </r>
  <r>
    <x v="17"/>
    <x v="1"/>
    <n v="22173"/>
    <n v="219"/>
    <n v="21750"/>
    <n v="432912"/>
  </r>
  <r>
    <x v="17"/>
    <x v="2"/>
    <n v="29412"/>
    <n v="231"/>
    <n v="29178"/>
    <n v="569314"/>
  </r>
  <r>
    <x v="18"/>
    <x v="0"/>
    <n v="0"/>
    <n v="0"/>
    <n v="0"/>
    <n v="0"/>
  </r>
  <r>
    <x v="18"/>
    <x v="1"/>
    <n v="10416"/>
    <n v="51"/>
    <n v="10361"/>
    <n v="102941"/>
  </r>
  <r>
    <x v="18"/>
    <x v="2"/>
    <n v="11415"/>
    <n v="52"/>
    <n v="11363"/>
    <n v="142358"/>
  </r>
  <r>
    <x v="19"/>
    <x v="0"/>
    <n v="240947"/>
    <n v="3595"/>
    <n v="227965"/>
    <n v="0"/>
  </r>
  <r>
    <x v="19"/>
    <x v="1"/>
    <n v="793888"/>
    <n v="10533"/>
    <n v="782995"/>
    <n v="102894121"/>
  </r>
  <r>
    <x v="19"/>
    <x v="2"/>
    <n v="1054919"/>
    <n v="10776"/>
    <n v="1044138"/>
    <n v="153928415"/>
  </r>
  <r>
    <x v="20"/>
    <x v="0"/>
    <n v="1928603"/>
    <n v="49463"/>
    <n v="1824934"/>
    <n v="0"/>
  </r>
  <r>
    <x v="20"/>
    <x v="1"/>
    <n v="6670754"/>
    <n v="141518"/>
    <n v="6507330"/>
    <n v="132941258"/>
  </r>
  <r>
    <x v="20"/>
    <x v="2"/>
    <n v="8136633"/>
    <n v="148417"/>
    <n v="7988044"/>
    <n v="177924155"/>
  </r>
  <r>
    <x v="21"/>
    <x v="0"/>
    <n v="28137"/>
    <n v="354"/>
    <n v="26601"/>
    <n v="0"/>
  </r>
  <r>
    <x v="21"/>
    <x v="1"/>
    <n v="125778"/>
    <n v="2002"/>
    <n v="123586"/>
    <n v="2314911"/>
  </r>
  <r>
    <x v="21"/>
    <x v="2"/>
    <n v="139922"/>
    <n v="2149"/>
    <n v="137773"/>
    <n v="3267914"/>
  </r>
  <r>
    <x v="22"/>
    <x v="0"/>
    <n v="13408"/>
    <n v="139"/>
    <n v="13085"/>
    <n v="0"/>
  </r>
  <r>
    <x v="22"/>
    <x v="1"/>
    <n v="84817"/>
    <n v="1484"/>
    <n v="83272"/>
    <n v="2194125"/>
  </r>
  <r>
    <x v="22"/>
    <x v="2"/>
    <n v="96783"/>
    <n v="1624"/>
    <n v="95158"/>
    <n v="2624911"/>
  </r>
  <r>
    <x v="23"/>
    <x v="0"/>
    <n v="4204"/>
    <n v="8"/>
    <n v="4091"/>
    <n v="0"/>
  </r>
  <r>
    <x v="23"/>
    <x v="1"/>
    <n v="141400"/>
    <n v="542"/>
    <n v="139200"/>
    <n v="1324911"/>
  </r>
  <r>
    <x v="23"/>
    <x v="2"/>
    <n v="238964"/>
    <n v="726"/>
    <n v="238238"/>
    <n v="1793512"/>
  </r>
  <r>
    <x v="24"/>
    <x v="0"/>
    <n v="11921"/>
    <n v="79"/>
    <n v="11624"/>
    <n v="0"/>
  </r>
  <r>
    <x v="24"/>
    <x v="1"/>
    <n v="32191"/>
    <n v="702"/>
    <n v="31420"/>
    <n v="1342158"/>
  </r>
  <r>
    <x v="24"/>
    <x v="2"/>
    <n v="35986"/>
    <n v="782"/>
    <n v="35204"/>
    <n v="1739241"/>
  </r>
  <r>
    <x v="25"/>
    <x v="0"/>
    <n v="329306"/>
    <n v="1871"/>
    <n v="325103"/>
    <n v="0"/>
  </r>
  <r>
    <x v="25"/>
    <x v="1"/>
    <n v="1054606"/>
    <n v="8458"/>
    <n v="1044594"/>
    <n v="50294155"/>
  </r>
  <r>
    <x v="25"/>
    <x v="2"/>
    <n v="1336563"/>
    <n v="9205"/>
    <n v="1327264"/>
    <n v="81523912"/>
  </r>
  <r>
    <x v="26"/>
    <x v="0"/>
    <n v="38096"/>
    <n v="633"/>
    <n v="37100"/>
    <n v="0"/>
  </r>
  <r>
    <x v="26"/>
    <x v="1"/>
    <n v="129461"/>
    <n v="1881"/>
    <n v="127452"/>
    <n v="1389412"/>
  </r>
  <r>
    <x v="26"/>
    <x v="2"/>
    <n v="175512"/>
    <n v="1975"/>
    <n v="173530"/>
    <n v="2274911"/>
  </r>
  <r>
    <x v="27"/>
    <x v="0"/>
    <n v="166239"/>
    <n v="5331"/>
    <n v="157043"/>
    <n v="0"/>
  </r>
  <r>
    <x v="27"/>
    <x v="1"/>
    <n v="604594"/>
    <n v="16644"/>
    <n v="587368"/>
    <n v="26594213"/>
  </r>
  <r>
    <x v="27"/>
    <x v="2"/>
    <n v="784210"/>
    <n v="19289"/>
    <n v="764878"/>
    <n v="47023915"/>
  </r>
  <r>
    <x v="28"/>
    <x v="0"/>
    <n v="307554"/>
    <n v="2689"/>
    <n v="295030"/>
    <n v="0"/>
  </r>
  <r>
    <x v="28"/>
    <x v="1"/>
    <n v="956019"/>
    <n v="8963"/>
    <n v="946283"/>
    <n v="80941255"/>
  </r>
  <r>
    <x v="28"/>
    <x v="2"/>
    <n v="1315466"/>
    <n v="9653"/>
    <n v="1305740"/>
    <n v="115421392"/>
  </r>
  <r>
    <x v="29"/>
    <x v="0"/>
    <n v="5877"/>
    <n v="127"/>
    <n v="5218"/>
    <n v="0"/>
  </r>
  <r>
    <x v="29"/>
    <x v="1"/>
    <n v="32502"/>
    <n v="409"/>
    <n v="32032"/>
    <n v="1029314"/>
  </r>
  <r>
    <x v="29"/>
    <x v="2"/>
    <n v="44319"/>
    <n v="499"/>
    <n v="43819"/>
    <n v="1362914"/>
  </r>
  <r>
    <x v="30"/>
    <x v="0"/>
    <n v="817077"/>
    <n v="12109"/>
    <n v="796353"/>
    <n v="0"/>
  </r>
  <r>
    <x v="30"/>
    <x v="1"/>
    <n v="2746890"/>
    <n v="36765"/>
    <n v="2703196"/>
    <n v="81563212"/>
  </r>
  <r>
    <x v="30"/>
    <x v="2"/>
    <n v="3595415"/>
    <n v="38049"/>
    <n v="3556292"/>
    <n v="127542911"/>
  </r>
  <r>
    <x v="31"/>
    <x v="0"/>
    <n v="286354"/>
    <n v="1541"/>
    <n v="278839"/>
    <n v="0"/>
  </r>
  <r>
    <x v="31"/>
    <x v="1"/>
    <n v="681587"/>
    <n v="4025"/>
    <n v="673999"/>
    <n v="47894213"/>
  </r>
  <r>
    <x v="31"/>
    <x v="2"/>
    <n v="841839"/>
    <n v="4111"/>
    <n v="837162"/>
    <n v="77542912"/>
  </r>
  <r>
    <x v="32"/>
    <x v="0"/>
    <n v="33264"/>
    <n v="385"/>
    <n v="32751"/>
    <n v="0"/>
  </r>
  <r>
    <x v="32"/>
    <x v="1"/>
    <n v="85069"/>
    <n v="829"/>
    <n v="84145"/>
    <n v="4912458"/>
  </r>
  <r>
    <x v="32"/>
    <x v="2"/>
    <n v="108034"/>
    <n v="940"/>
    <n v="107094"/>
    <n v="5912458"/>
  </r>
  <r>
    <x v="33"/>
    <x v="0"/>
    <n v="584966"/>
    <n v="8352"/>
    <n v="562459"/>
    <n v="0"/>
  </r>
  <r>
    <x v="33"/>
    <x v="1"/>
    <n v="1711359"/>
    <n v="22915"/>
    <n v="1687799"/>
    <n v="200854213"/>
  </r>
  <r>
    <x v="33"/>
    <x v="2"/>
    <n v="2128104"/>
    <n v="23633"/>
    <n v="2104432"/>
    <n v="392014913"/>
  </r>
  <r>
    <x v="34"/>
    <x v="0"/>
    <n v="90616"/>
    <n v="1504"/>
    <n v="84149"/>
    <n v="0"/>
  </r>
  <r>
    <x v="34"/>
    <x v="1"/>
    <n v="344940"/>
    <n v="7417"/>
    <n v="337268"/>
    <n v="13842155"/>
  </r>
  <r>
    <x v="34"/>
    <x v="2"/>
    <n v="449389"/>
    <n v="7751"/>
    <n v="441610"/>
    <n v="20124912"/>
  </r>
  <r>
    <x v="35"/>
    <x v="0"/>
    <n v="550893"/>
    <n v="9683"/>
    <n v="528829"/>
    <n v="0"/>
  </r>
  <r>
    <x v="35"/>
    <x v="1"/>
    <n v="1635034"/>
    <n v="19757"/>
    <n v="1606501"/>
    <n v="104291458"/>
  </r>
  <r>
    <x v="35"/>
    <x v="2"/>
    <n v="2118617"/>
    <n v="21532"/>
    <n v="2097026"/>
    <n v="1560249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33696-2AB9-46E3-8288-8042B57FDD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B8:F120" firstHeaderRow="0" firstDataRow="1" firstDataCol="1"/>
  <pivotFields count="6">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4">
        <item x="0"/>
        <item x="1"/>
        <item x="2"/>
        <item t="default"/>
      </items>
    </pivotField>
    <pivotField dataField="1" showAll="0"/>
    <pivotField dataField="1" showAll="0"/>
    <pivotField dataField="1" showAll="0"/>
    <pivotField dataField="1" showAll="0"/>
  </pivotFields>
  <rowFields count="2">
    <field x="1"/>
    <field x="0"/>
  </rowFields>
  <rowItems count="11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t="grand">
      <x/>
    </i>
  </rowItems>
  <colFields count="1">
    <field x="-2"/>
  </colFields>
  <colItems count="4">
    <i>
      <x/>
    </i>
    <i i="1">
      <x v="1"/>
    </i>
    <i i="2">
      <x v="2"/>
    </i>
    <i i="3">
      <x v="3"/>
    </i>
  </colItems>
  <dataFields count="4">
    <dataField name="Sum of Vaccinated" fld="5" baseField="0" baseItem="0"/>
    <dataField name="Sum of Recovered" fld="4" baseField="0" baseItem="0"/>
    <dataField name="Sum of Deaths" fld="3" baseField="0" baseItem="0"/>
    <dataField name="Sum of Cases" fld="2" baseField="0" baseItem="0"/>
  </dataFields>
  <chartFormats count="460">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2" format="3" series="1">
      <pivotArea type="data" outline="0" fieldPosition="0">
        <references count="1">
          <reference field="4294967294" count="1" selected="0">
            <x v="3"/>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2"/>
          </reference>
        </references>
      </pivotArea>
    </chartFormat>
    <chartFormat chart="27" format="11" series="1">
      <pivotArea type="data" outline="0" fieldPosition="0">
        <references count="1">
          <reference field="4294967294" count="1" selected="0">
            <x v="3"/>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28" format="3" series="1">
      <pivotArea type="data" outline="0" fieldPosition="0">
        <references count="1">
          <reference field="4294967294" count="1" selected="0">
            <x v="3"/>
          </reference>
        </references>
      </pivotArea>
    </chartFormat>
    <chartFormat chart="30" format="152" series="1">
      <pivotArea type="data" outline="0" fieldPosition="0">
        <references count="1">
          <reference field="4294967294" count="1" selected="0">
            <x v="0"/>
          </reference>
        </references>
      </pivotArea>
    </chartFormat>
    <chartFormat chart="30" format="153">
      <pivotArea type="data" outline="0" fieldPosition="0">
        <references count="3">
          <reference field="4294967294" count="1" selected="0">
            <x v="0"/>
          </reference>
          <reference field="0" count="1" selected="0">
            <x v="0"/>
          </reference>
          <reference field="1" count="1" selected="0">
            <x v="0"/>
          </reference>
        </references>
      </pivotArea>
    </chartFormat>
    <chartFormat chart="30" format="154">
      <pivotArea type="data" outline="0" fieldPosition="0">
        <references count="3">
          <reference field="4294967294" count="1" selected="0">
            <x v="0"/>
          </reference>
          <reference field="0" count="1" selected="0">
            <x v="1"/>
          </reference>
          <reference field="1" count="1" selected="0">
            <x v="0"/>
          </reference>
        </references>
      </pivotArea>
    </chartFormat>
    <chartFormat chart="30" format="155">
      <pivotArea type="data" outline="0" fieldPosition="0">
        <references count="3">
          <reference field="4294967294" count="1" selected="0">
            <x v="0"/>
          </reference>
          <reference field="0" count="1" selected="0">
            <x v="2"/>
          </reference>
          <reference field="1" count="1" selected="0">
            <x v="0"/>
          </reference>
        </references>
      </pivotArea>
    </chartFormat>
    <chartFormat chart="30" format="156">
      <pivotArea type="data" outline="0" fieldPosition="0">
        <references count="3">
          <reference field="4294967294" count="1" selected="0">
            <x v="0"/>
          </reference>
          <reference field="0" count="1" selected="0">
            <x v="3"/>
          </reference>
          <reference field="1" count="1" selected="0">
            <x v="0"/>
          </reference>
        </references>
      </pivotArea>
    </chartFormat>
    <chartFormat chart="30" format="157">
      <pivotArea type="data" outline="0" fieldPosition="0">
        <references count="3">
          <reference field="4294967294" count="1" selected="0">
            <x v="0"/>
          </reference>
          <reference field="0" count="1" selected="0">
            <x v="4"/>
          </reference>
          <reference field="1" count="1" selected="0">
            <x v="0"/>
          </reference>
        </references>
      </pivotArea>
    </chartFormat>
    <chartFormat chart="30" format="158">
      <pivotArea type="data" outline="0" fieldPosition="0">
        <references count="3">
          <reference field="4294967294" count="1" selected="0">
            <x v="0"/>
          </reference>
          <reference field="0" count="1" selected="0">
            <x v="5"/>
          </reference>
          <reference field="1" count="1" selected="0">
            <x v="0"/>
          </reference>
        </references>
      </pivotArea>
    </chartFormat>
    <chartFormat chart="30" format="159">
      <pivotArea type="data" outline="0" fieldPosition="0">
        <references count="3">
          <reference field="4294967294" count="1" selected="0">
            <x v="0"/>
          </reference>
          <reference field="0" count="1" selected="0">
            <x v="6"/>
          </reference>
          <reference field="1" count="1" selected="0">
            <x v="0"/>
          </reference>
        </references>
      </pivotArea>
    </chartFormat>
    <chartFormat chart="30" format="160">
      <pivotArea type="data" outline="0" fieldPosition="0">
        <references count="3">
          <reference field="4294967294" count="1" selected="0">
            <x v="0"/>
          </reference>
          <reference field="0" count="1" selected="0">
            <x v="7"/>
          </reference>
          <reference field="1" count="1" selected="0">
            <x v="0"/>
          </reference>
        </references>
      </pivotArea>
    </chartFormat>
    <chartFormat chart="30" format="161">
      <pivotArea type="data" outline="0" fieldPosition="0">
        <references count="3">
          <reference field="4294967294" count="1" selected="0">
            <x v="0"/>
          </reference>
          <reference field="0" count="1" selected="0">
            <x v="8"/>
          </reference>
          <reference field="1" count="1" selected="0">
            <x v="0"/>
          </reference>
        </references>
      </pivotArea>
    </chartFormat>
    <chartFormat chart="30" format="162">
      <pivotArea type="data" outline="0" fieldPosition="0">
        <references count="3">
          <reference field="4294967294" count="1" selected="0">
            <x v="0"/>
          </reference>
          <reference field="0" count="1" selected="0">
            <x v="9"/>
          </reference>
          <reference field="1" count="1" selected="0">
            <x v="0"/>
          </reference>
        </references>
      </pivotArea>
    </chartFormat>
    <chartFormat chart="30" format="163">
      <pivotArea type="data" outline="0" fieldPosition="0">
        <references count="3">
          <reference field="4294967294" count="1" selected="0">
            <x v="0"/>
          </reference>
          <reference field="0" count="1" selected="0">
            <x v="10"/>
          </reference>
          <reference field="1" count="1" selected="0">
            <x v="0"/>
          </reference>
        </references>
      </pivotArea>
    </chartFormat>
    <chartFormat chart="30" format="164">
      <pivotArea type="data" outline="0" fieldPosition="0">
        <references count="3">
          <reference field="4294967294" count="1" selected="0">
            <x v="0"/>
          </reference>
          <reference field="0" count="1" selected="0">
            <x v="11"/>
          </reference>
          <reference field="1" count="1" selected="0">
            <x v="0"/>
          </reference>
        </references>
      </pivotArea>
    </chartFormat>
    <chartFormat chart="30" format="165">
      <pivotArea type="data" outline="0" fieldPosition="0">
        <references count="3">
          <reference field="4294967294" count="1" selected="0">
            <x v="0"/>
          </reference>
          <reference field="0" count="1" selected="0">
            <x v="12"/>
          </reference>
          <reference field="1" count="1" selected="0">
            <x v="0"/>
          </reference>
        </references>
      </pivotArea>
    </chartFormat>
    <chartFormat chart="30" format="166">
      <pivotArea type="data" outline="0" fieldPosition="0">
        <references count="3">
          <reference field="4294967294" count="1" selected="0">
            <x v="0"/>
          </reference>
          <reference field="0" count="1" selected="0">
            <x v="13"/>
          </reference>
          <reference field="1" count="1" selected="0">
            <x v="0"/>
          </reference>
        </references>
      </pivotArea>
    </chartFormat>
    <chartFormat chart="30" format="167">
      <pivotArea type="data" outline="0" fieldPosition="0">
        <references count="3">
          <reference field="4294967294" count="1" selected="0">
            <x v="0"/>
          </reference>
          <reference field="0" count="1" selected="0">
            <x v="14"/>
          </reference>
          <reference field="1" count="1" selected="0">
            <x v="0"/>
          </reference>
        </references>
      </pivotArea>
    </chartFormat>
    <chartFormat chart="30" format="168">
      <pivotArea type="data" outline="0" fieldPosition="0">
        <references count="3">
          <reference field="4294967294" count="1" selected="0">
            <x v="0"/>
          </reference>
          <reference field="0" count="1" selected="0">
            <x v="15"/>
          </reference>
          <reference field="1" count="1" selected="0">
            <x v="0"/>
          </reference>
        </references>
      </pivotArea>
    </chartFormat>
    <chartFormat chart="30" format="169">
      <pivotArea type="data" outline="0" fieldPosition="0">
        <references count="3">
          <reference field="4294967294" count="1" selected="0">
            <x v="0"/>
          </reference>
          <reference field="0" count="1" selected="0">
            <x v="16"/>
          </reference>
          <reference field="1" count="1" selected="0">
            <x v="0"/>
          </reference>
        </references>
      </pivotArea>
    </chartFormat>
    <chartFormat chart="30" format="170">
      <pivotArea type="data" outline="0" fieldPosition="0">
        <references count="3">
          <reference field="4294967294" count="1" selected="0">
            <x v="0"/>
          </reference>
          <reference field="0" count="1" selected="0">
            <x v="17"/>
          </reference>
          <reference field="1" count="1" selected="0">
            <x v="0"/>
          </reference>
        </references>
      </pivotArea>
    </chartFormat>
    <chartFormat chart="30" format="171">
      <pivotArea type="data" outline="0" fieldPosition="0">
        <references count="3">
          <reference field="4294967294" count="1" selected="0">
            <x v="0"/>
          </reference>
          <reference field="0" count="1" selected="0">
            <x v="18"/>
          </reference>
          <reference field="1" count="1" selected="0">
            <x v="0"/>
          </reference>
        </references>
      </pivotArea>
    </chartFormat>
    <chartFormat chart="30" format="172">
      <pivotArea type="data" outline="0" fieldPosition="0">
        <references count="3">
          <reference field="4294967294" count="1" selected="0">
            <x v="0"/>
          </reference>
          <reference field="0" count="1" selected="0">
            <x v="19"/>
          </reference>
          <reference field="1" count="1" selected="0">
            <x v="0"/>
          </reference>
        </references>
      </pivotArea>
    </chartFormat>
    <chartFormat chart="30" format="173">
      <pivotArea type="data" outline="0" fieldPosition="0">
        <references count="3">
          <reference field="4294967294" count="1" selected="0">
            <x v="0"/>
          </reference>
          <reference field="0" count="1" selected="0">
            <x v="20"/>
          </reference>
          <reference field="1" count="1" selected="0">
            <x v="0"/>
          </reference>
        </references>
      </pivotArea>
    </chartFormat>
    <chartFormat chart="30" format="174">
      <pivotArea type="data" outline="0" fieldPosition="0">
        <references count="3">
          <reference field="4294967294" count="1" selected="0">
            <x v="0"/>
          </reference>
          <reference field="0" count="1" selected="0">
            <x v="21"/>
          </reference>
          <reference field="1" count="1" selected="0">
            <x v="0"/>
          </reference>
        </references>
      </pivotArea>
    </chartFormat>
    <chartFormat chart="30" format="175">
      <pivotArea type="data" outline="0" fieldPosition="0">
        <references count="3">
          <reference field="4294967294" count="1" selected="0">
            <x v="0"/>
          </reference>
          <reference field="0" count="1" selected="0">
            <x v="22"/>
          </reference>
          <reference field="1" count="1" selected="0">
            <x v="0"/>
          </reference>
        </references>
      </pivotArea>
    </chartFormat>
    <chartFormat chart="30" format="176">
      <pivotArea type="data" outline="0" fieldPosition="0">
        <references count="3">
          <reference field="4294967294" count="1" selected="0">
            <x v="0"/>
          </reference>
          <reference field="0" count="1" selected="0">
            <x v="23"/>
          </reference>
          <reference field="1" count="1" selected="0">
            <x v="0"/>
          </reference>
        </references>
      </pivotArea>
    </chartFormat>
    <chartFormat chart="30" format="177">
      <pivotArea type="data" outline="0" fieldPosition="0">
        <references count="3">
          <reference field="4294967294" count="1" selected="0">
            <x v="0"/>
          </reference>
          <reference field="0" count="1" selected="0">
            <x v="24"/>
          </reference>
          <reference field="1" count="1" selected="0">
            <x v="0"/>
          </reference>
        </references>
      </pivotArea>
    </chartFormat>
    <chartFormat chart="30" format="178">
      <pivotArea type="data" outline="0" fieldPosition="0">
        <references count="3">
          <reference field="4294967294" count="1" selected="0">
            <x v="0"/>
          </reference>
          <reference field="0" count="1" selected="0">
            <x v="25"/>
          </reference>
          <reference field="1" count="1" selected="0">
            <x v="0"/>
          </reference>
        </references>
      </pivotArea>
    </chartFormat>
    <chartFormat chart="30" format="179">
      <pivotArea type="data" outline="0" fieldPosition="0">
        <references count="3">
          <reference field="4294967294" count="1" selected="0">
            <x v="0"/>
          </reference>
          <reference field="0" count="1" selected="0">
            <x v="26"/>
          </reference>
          <reference field="1" count="1" selected="0">
            <x v="0"/>
          </reference>
        </references>
      </pivotArea>
    </chartFormat>
    <chartFormat chart="30" format="180">
      <pivotArea type="data" outline="0" fieldPosition="0">
        <references count="3">
          <reference field="4294967294" count="1" selected="0">
            <x v="0"/>
          </reference>
          <reference field="0" count="1" selected="0">
            <x v="27"/>
          </reference>
          <reference field="1" count="1" selected="0">
            <x v="0"/>
          </reference>
        </references>
      </pivotArea>
    </chartFormat>
    <chartFormat chart="30" format="181">
      <pivotArea type="data" outline="0" fieldPosition="0">
        <references count="3">
          <reference field="4294967294" count="1" selected="0">
            <x v="0"/>
          </reference>
          <reference field="0" count="1" selected="0">
            <x v="28"/>
          </reference>
          <reference field="1" count="1" selected="0">
            <x v="0"/>
          </reference>
        </references>
      </pivotArea>
    </chartFormat>
    <chartFormat chart="30" format="182">
      <pivotArea type="data" outline="0" fieldPosition="0">
        <references count="3">
          <reference field="4294967294" count="1" selected="0">
            <x v="0"/>
          </reference>
          <reference field="0" count="1" selected="0">
            <x v="29"/>
          </reference>
          <reference field="1" count="1" selected="0">
            <x v="0"/>
          </reference>
        </references>
      </pivotArea>
    </chartFormat>
    <chartFormat chart="30" format="183">
      <pivotArea type="data" outline="0" fieldPosition="0">
        <references count="3">
          <reference field="4294967294" count="1" selected="0">
            <x v="0"/>
          </reference>
          <reference field="0" count="1" selected="0">
            <x v="30"/>
          </reference>
          <reference field="1" count="1" selected="0">
            <x v="0"/>
          </reference>
        </references>
      </pivotArea>
    </chartFormat>
    <chartFormat chart="30" format="184">
      <pivotArea type="data" outline="0" fieldPosition="0">
        <references count="3">
          <reference field="4294967294" count="1" selected="0">
            <x v="0"/>
          </reference>
          <reference field="0" count="1" selected="0">
            <x v="31"/>
          </reference>
          <reference field="1" count="1" selected="0">
            <x v="0"/>
          </reference>
        </references>
      </pivotArea>
    </chartFormat>
    <chartFormat chart="30" format="185">
      <pivotArea type="data" outline="0" fieldPosition="0">
        <references count="3">
          <reference field="4294967294" count="1" selected="0">
            <x v="0"/>
          </reference>
          <reference field="0" count="1" selected="0">
            <x v="32"/>
          </reference>
          <reference field="1" count="1" selected="0">
            <x v="0"/>
          </reference>
        </references>
      </pivotArea>
    </chartFormat>
    <chartFormat chart="30" format="186">
      <pivotArea type="data" outline="0" fieldPosition="0">
        <references count="3">
          <reference field="4294967294" count="1" selected="0">
            <x v="0"/>
          </reference>
          <reference field="0" count="1" selected="0">
            <x v="33"/>
          </reference>
          <reference field="1" count="1" selected="0">
            <x v="0"/>
          </reference>
        </references>
      </pivotArea>
    </chartFormat>
    <chartFormat chart="30" format="187">
      <pivotArea type="data" outline="0" fieldPosition="0">
        <references count="3">
          <reference field="4294967294" count="1" selected="0">
            <x v="0"/>
          </reference>
          <reference field="0" count="1" selected="0">
            <x v="34"/>
          </reference>
          <reference field="1" count="1" selected="0">
            <x v="0"/>
          </reference>
        </references>
      </pivotArea>
    </chartFormat>
    <chartFormat chart="30" format="188">
      <pivotArea type="data" outline="0" fieldPosition="0">
        <references count="3">
          <reference field="4294967294" count="1" selected="0">
            <x v="0"/>
          </reference>
          <reference field="0" count="1" selected="0">
            <x v="35"/>
          </reference>
          <reference field="1" count="1" selected="0">
            <x v="0"/>
          </reference>
        </references>
      </pivotArea>
    </chartFormat>
    <chartFormat chart="30" format="189" series="1">
      <pivotArea type="data" outline="0" fieldPosition="0">
        <references count="1">
          <reference field="4294967294" count="1" selected="0">
            <x v="1"/>
          </reference>
        </references>
      </pivotArea>
    </chartFormat>
    <chartFormat chart="30" format="190">
      <pivotArea type="data" outline="0" fieldPosition="0">
        <references count="3">
          <reference field="4294967294" count="1" selected="0">
            <x v="1"/>
          </reference>
          <reference field="0" count="1" selected="0">
            <x v="0"/>
          </reference>
          <reference field="1" count="1" selected="0">
            <x v="0"/>
          </reference>
        </references>
      </pivotArea>
    </chartFormat>
    <chartFormat chart="30" format="191">
      <pivotArea type="data" outline="0" fieldPosition="0">
        <references count="3">
          <reference field="4294967294" count="1" selected="0">
            <x v="1"/>
          </reference>
          <reference field="0" count="1" selected="0">
            <x v="1"/>
          </reference>
          <reference field="1" count="1" selected="0">
            <x v="0"/>
          </reference>
        </references>
      </pivotArea>
    </chartFormat>
    <chartFormat chart="30" format="192">
      <pivotArea type="data" outline="0" fieldPosition="0">
        <references count="3">
          <reference field="4294967294" count="1" selected="0">
            <x v="1"/>
          </reference>
          <reference field="0" count="1" selected="0">
            <x v="2"/>
          </reference>
          <reference field="1" count="1" selected="0">
            <x v="0"/>
          </reference>
        </references>
      </pivotArea>
    </chartFormat>
    <chartFormat chart="30" format="193">
      <pivotArea type="data" outline="0" fieldPosition="0">
        <references count="3">
          <reference field="4294967294" count="1" selected="0">
            <x v="1"/>
          </reference>
          <reference field="0" count="1" selected="0">
            <x v="3"/>
          </reference>
          <reference field="1" count="1" selected="0">
            <x v="0"/>
          </reference>
        </references>
      </pivotArea>
    </chartFormat>
    <chartFormat chart="30" format="194">
      <pivotArea type="data" outline="0" fieldPosition="0">
        <references count="3">
          <reference field="4294967294" count="1" selected="0">
            <x v="1"/>
          </reference>
          <reference field="0" count="1" selected="0">
            <x v="4"/>
          </reference>
          <reference field="1" count="1" selected="0">
            <x v="0"/>
          </reference>
        </references>
      </pivotArea>
    </chartFormat>
    <chartFormat chart="30" format="195">
      <pivotArea type="data" outline="0" fieldPosition="0">
        <references count="3">
          <reference field="4294967294" count="1" selected="0">
            <x v="1"/>
          </reference>
          <reference field="0" count="1" selected="0">
            <x v="5"/>
          </reference>
          <reference field="1" count="1" selected="0">
            <x v="0"/>
          </reference>
        </references>
      </pivotArea>
    </chartFormat>
    <chartFormat chart="30" format="196">
      <pivotArea type="data" outline="0" fieldPosition="0">
        <references count="3">
          <reference field="4294967294" count="1" selected="0">
            <x v="1"/>
          </reference>
          <reference field="0" count="1" selected="0">
            <x v="6"/>
          </reference>
          <reference field="1" count="1" selected="0">
            <x v="0"/>
          </reference>
        </references>
      </pivotArea>
    </chartFormat>
    <chartFormat chart="30" format="197">
      <pivotArea type="data" outline="0" fieldPosition="0">
        <references count="3">
          <reference field="4294967294" count="1" selected="0">
            <x v="1"/>
          </reference>
          <reference field="0" count="1" selected="0">
            <x v="7"/>
          </reference>
          <reference field="1" count="1" selected="0">
            <x v="0"/>
          </reference>
        </references>
      </pivotArea>
    </chartFormat>
    <chartFormat chart="30" format="198">
      <pivotArea type="data" outline="0" fieldPosition="0">
        <references count="3">
          <reference field="4294967294" count="1" selected="0">
            <x v="1"/>
          </reference>
          <reference field="0" count="1" selected="0">
            <x v="8"/>
          </reference>
          <reference field="1" count="1" selected="0">
            <x v="0"/>
          </reference>
        </references>
      </pivotArea>
    </chartFormat>
    <chartFormat chart="30" format="199">
      <pivotArea type="data" outline="0" fieldPosition="0">
        <references count="3">
          <reference field="4294967294" count="1" selected="0">
            <x v="1"/>
          </reference>
          <reference field="0" count="1" selected="0">
            <x v="9"/>
          </reference>
          <reference field="1" count="1" selected="0">
            <x v="0"/>
          </reference>
        </references>
      </pivotArea>
    </chartFormat>
    <chartFormat chart="30" format="200">
      <pivotArea type="data" outline="0" fieldPosition="0">
        <references count="3">
          <reference field="4294967294" count="1" selected="0">
            <x v="1"/>
          </reference>
          <reference field="0" count="1" selected="0">
            <x v="10"/>
          </reference>
          <reference field="1" count="1" selected="0">
            <x v="0"/>
          </reference>
        </references>
      </pivotArea>
    </chartFormat>
    <chartFormat chart="30" format="201">
      <pivotArea type="data" outline="0" fieldPosition="0">
        <references count="3">
          <reference field="4294967294" count="1" selected="0">
            <x v="1"/>
          </reference>
          <reference field="0" count="1" selected="0">
            <x v="11"/>
          </reference>
          <reference field="1" count="1" selected="0">
            <x v="0"/>
          </reference>
        </references>
      </pivotArea>
    </chartFormat>
    <chartFormat chart="30" format="202">
      <pivotArea type="data" outline="0" fieldPosition="0">
        <references count="3">
          <reference field="4294967294" count="1" selected="0">
            <x v="1"/>
          </reference>
          <reference field="0" count="1" selected="0">
            <x v="12"/>
          </reference>
          <reference field="1" count="1" selected="0">
            <x v="0"/>
          </reference>
        </references>
      </pivotArea>
    </chartFormat>
    <chartFormat chart="30" format="203">
      <pivotArea type="data" outline="0" fieldPosition="0">
        <references count="3">
          <reference field="4294967294" count="1" selected="0">
            <x v="1"/>
          </reference>
          <reference field="0" count="1" selected="0">
            <x v="13"/>
          </reference>
          <reference field="1" count="1" selected="0">
            <x v="0"/>
          </reference>
        </references>
      </pivotArea>
    </chartFormat>
    <chartFormat chart="30" format="204">
      <pivotArea type="data" outline="0" fieldPosition="0">
        <references count="3">
          <reference field="4294967294" count="1" selected="0">
            <x v="1"/>
          </reference>
          <reference field="0" count="1" selected="0">
            <x v="14"/>
          </reference>
          <reference field="1" count="1" selected="0">
            <x v="0"/>
          </reference>
        </references>
      </pivotArea>
    </chartFormat>
    <chartFormat chart="30" format="205">
      <pivotArea type="data" outline="0" fieldPosition="0">
        <references count="3">
          <reference field="4294967294" count="1" selected="0">
            <x v="1"/>
          </reference>
          <reference field="0" count="1" selected="0">
            <x v="15"/>
          </reference>
          <reference field="1" count="1" selected="0">
            <x v="0"/>
          </reference>
        </references>
      </pivotArea>
    </chartFormat>
    <chartFormat chart="30" format="206">
      <pivotArea type="data" outline="0" fieldPosition="0">
        <references count="3">
          <reference field="4294967294" count="1" selected="0">
            <x v="1"/>
          </reference>
          <reference field="0" count="1" selected="0">
            <x v="16"/>
          </reference>
          <reference field="1" count="1" selected="0">
            <x v="0"/>
          </reference>
        </references>
      </pivotArea>
    </chartFormat>
    <chartFormat chart="30" format="207">
      <pivotArea type="data" outline="0" fieldPosition="0">
        <references count="3">
          <reference field="4294967294" count="1" selected="0">
            <x v="1"/>
          </reference>
          <reference field="0" count="1" selected="0">
            <x v="17"/>
          </reference>
          <reference field="1" count="1" selected="0">
            <x v="0"/>
          </reference>
        </references>
      </pivotArea>
    </chartFormat>
    <chartFormat chart="30" format="208">
      <pivotArea type="data" outline="0" fieldPosition="0">
        <references count="3">
          <reference field="4294967294" count="1" selected="0">
            <x v="1"/>
          </reference>
          <reference field="0" count="1" selected="0">
            <x v="18"/>
          </reference>
          <reference field="1" count="1" selected="0">
            <x v="0"/>
          </reference>
        </references>
      </pivotArea>
    </chartFormat>
    <chartFormat chart="30" format="209">
      <pivotArea type="data" outline="0" fieldPosition="0">
        <references count="3">
          <reference field="4294967294" count="1" selected="0">
            <x v="1"/>
          </reference>
          <reference field="0" count="1" selected="0">
            <x v="19"/>
          </reference>
          <reference field="1" count="1" selected="0">
            <x v="0"/>
          </reference>
        </references>
      </pivotArea>
    </chartFormat>
    <chartFormat chart="30" format="210">
      <pivotArea type="data" outline="0" fieldPosition="0">
        <references count="3">
          <reference field="4294967294" count="1" selected="0">
            <x v="1"/>
          </reference>
          <reference field="0" count="1" selected="0">
            <x v="20"/>
          </reference>
          <reference field="1" count="1" selected="0">
            <x v="0"/>
          </reference>
        </references>
      </pivotArea>
    </chartFormat>
    <chartFormat chart="30" format="211">
      <pivotArea type="data" outline="0" fieldPosition="0">
        <references count="3">
          <reference field="4294967294" count="1" selected="0">
            <x v="1"/>
          </reference>
          <reference field="0" count="1" selected="0">
            <x v="21"/>
          </reference>
          <reference field="1" count="1" selected="0">
            <x v="0"/>
          </reference>
        </references>
      </pivotArea>
    </chartFormat>
    <chartFormat chart="30" format="212">
      <pivotArea type="data" outline="0" fieldPosition="0">
        <references count="3">
          <reference field="4294967294" count="1" selected="0">
            <x v="1"/>
          </reference>
          <reference field="0" count="1" selected="0">
            <x v="22"/>
          </reference>
          <reference field="1" count="1" selected="0">
            <x v="0"/>
          </reference>
        </references>
      </pivotArea>
    </chartFormat>
    <chartFormat chart="30" format="213">
      <pivotArea type="data" outline="0" fieldPosition="0">
        <references count="3">
          <reference field="4294967294" count="1" selected="0">
            <x v="1"/>
          </reference>
          <reference field="0" count="1" selected="0">
            <x v="23"/>
          </reference>
          <reference field="1" count="1" selected="0">
            <x v="0"/>
          </reference>
        </references>
      </pivotArea>
    </chartFormat>
    <chartFormat chart="30" format="214">
      <pivotArea type="data" outline="0" fieldPosition="0">
        <references count="3">
          <reference field="4294967294" count="1" selected="0">
            <x v="1"/>
          </reference>
          <reference field="0" count="1" selected="0">
            <x v="24"/>
          </reference>
          <reference field="1" count="1" selected="0">
            <x v="0"/>
          </reference>
        </references>
      </pivotArea>
    </chartFormat>
    <chartFormat chart="30" format="215">
      <pivotArea type="data" outline="0" fieldPosition="0">
        <references count="3">
          <reference field="4294967294" count="1" selected="0">
            <x v="1"/>
          </reference>
          <reference field="0" count="1" selected="0">
            <x v="25"/>
          </reference>
          <reference field="1" count="1" selected="0">
            <x v="0"/>
          </reference>
        </references>
      </pivotArea>
    </chartFormat>
    <chartFormat chart="30" format="216">
      <pivotArea type="data" outline="0" fieldPosition="0">
        <references count="3">
          <reference field="4294967294" count="1" selected="0">
            <x v="1"/>
          </reference>
          <reference field="0" count="1" selected="0">
            <x v="26"/>
          </reference>
          <reference field="1" count="1" selected="0">
            <x v="0"/>
          </reference>
        </references>
      </pivotArea>
    </chartFormat>
    <chartFormat chart="30" format="217">
      <pivotArea type="data" outline="0" fieldPosition="0">
        <references count="3">
          <reference field="4294967294" count="1" selected="0">
            <x v="1"/>
          </reference>
          <reference field="0" count="1" selected="0">
            <x v="27"/>
          </reference>
          <reference field="1" count="1" selected="0">
            <x v="0"/>
          </reference>
        </references>
      </pivotArea>
    </chartFormat>
    <chartFormat chart="30" format="218">
      <pivotArea type="data" outline="0" fieldPosition="0">
        <references count="3">
          <reference field="4294967294" count="1" selected="0">
            <x v="1"/>
          </reference>
          <reference field="0" count="1" selected="0">
            <x v="28"/>
          </reference>
          <reference field="1" count="1" selected="0">
            <x v="0"/>
          </reference>
        </references>
      </pivotArea>
    </chartFormat>
    <chartFormat chart="30" format="219">
      <pivotArea type="data" outline="0" fieldPosition="0">
        <references count="3">
          <reference field="4294967294" count="1" selected="0">
            <x v="1"/>
          </reference>
          <reference field="0" count="1" selected="0">
            <x v="29"/>
          </reference>
          <reference field="1" count="1" selected="0">
            <x v="0"/>
          </reference>
        </references>
      </pivotArea>
    </chartFormat>
    <chartFormat chart="30" format="220">
      <pivotArea type="data" outline="0" fieldPosition="0">
        <references count="3">
          <reference field="4294967294" count="1" selected="0">
            <x v="1"/>
          </reference>
          <reference field="0" count="1" selected="0">
            <x v="30"/>
          </reference>
          <reference field="1" count="1" selected="0">
            <x v="0"/>
          </reference>
        </references>
      </pivotArea>
    </chartFormat>
    <chartFormat chart="30" format="221">
      <pivotArea type="data" outline="0" fieldPosition="0">
        <references count="3">
          <reference field="4294967294" count="1" selected="0">
            <x v="1"/>
          </reference>
          <reference field="0" count="1" selected="0">
            <x v="31"/>
          </reference>
          <reference field="1" count="1" selected="0">
            <x v="0"/>
          </reference>
        </references>
      </pivotArea>
    </chartFormat>
    <chartFormat chart="30" format="222">
      <pivotArea type="data" outline="0" fieldPosition="0">
        <references count="3">
          <reference field="4294967294" count="1" selected="0">
            <x v="1"/>
          </reference>
          <reference field="0" count="1" selected="0">
            <x v="32"/>
          </reference>
          <reference field="1" count="1" selected="0">
            <x v="0"/>
          </reference>
        </references>
      </pivotArea>
    </chartFormat>
    <chartFormat chart="30" format="223">
      <pivotArea type="data" outline="0" fieldPosition="0">
        <references count="3">
          <reference field="4294967294" count="1" selected="0">
            <x v="1"/>
          </reference>
          <reference field="0" count="1" selected="0">
            <x v="33"/>
          </reference>
          <reference field="1" count="1" selected="0">
            <x v="0"/>
          </reference>
        </references>
      </pivotArea>
    </chartFormat>
    <chartFormat chart="30" format="224">
      <pivotArea type="data" outline="0" fieldPosition="0">
        <references count="3">
          <reference field="4294967294" count="1" selected="0">
            <x v="1"/>
          </reference>
          <reference field="0" count="1" selected="0">
            <x v="34"/>
          </reference>
          <reference field="1" count="1" selected="0">
            <x v="0"/>
          </reference>
        </references>
      </pivotArea>
    </chartFormat>
    <chartFormat chart="30" format="225">
      <pivotArea type="data" outline="0" fieldPosition="0">
        <references count="3">
          <reference field="4294967294" count="1" selected="0">
            <x v="1"/>
          </reference>
          <reference field="0" count="1" selected="0">
            <x v="35"/>
          </reference>
          <reference field="1" count="1" selected="0">
            <x v="0"/>
          </reference>
        </references>
      </pivotArea>
    </chartFormat>
    <chartFormat chart="30" format="226" series="1">
      <pivotArea type="data" outline="0" fieldPosition="0">
        <references count="1">
          <reference field="4294967294" count="1" selected="0">
            <x v="2"/>
          </reference>
        </references>
      </pivotArea>
    </chartFormat>
    <chartFormat chart="30" format="227">
      <pivotArea type="data" outline="0" fieldPosition="0">
        <references count="3">
          <reference field="4294967294" count="1" selected="0">
            <x v="2"/>
          </reference>
          <reference field="0" count="1" selected="0">
            <x v="0"/>
          </reference>
          <reference field="1" count="1" selected="0">
            <x v="0"/>
          </reference>
        </references>
      </pivotArea>
    </chartFormat>
    <chartFormat chart="30" format="228">
      <pivotArea type="data" outline="0" fieldPosition="0">
        <references count="3">
          <reference field="4294967294" count="1" selected="0">
            <x v="2"/>
          </reference>
          <reference field="0" count="1" selected="0">
            <x v="1"/>
          </reference>
          <reference field="1" count="1" selected="0">
            <x v="0"/>
          </reference>
        </references>
      </pivotArea>
    </chartFormat>
    <chartFormat chart="30" format="229">
      <pivotArea type="data" outline="0" fieldPosition="0">
        <references count="3">
          <reference field="4294967294" count="1" selected="0">
            <x v="2"/>
          </reference>
          <reference field="0" count="1" selected="0">
            <x v="2"/>
          </reference>
          <reference field="1" count="1" selected="0">
            <x v="0"/>
          </reference>
        </references>
      </pivotArea>
    </chartFormat>
    <chartFormat chart="30" format="230">
      <pivotArea type="data" outline="0" fieldPosition="0">
        <references count="3">
          <reference field="4294967294" count="1" selected="0">
            <x v="2"/>
          </reference>
          <reference field="0" count="1" selected="0">
            <x v="3"/>
          </reference>
          <reference field="1" count="1" selected="0">
            <x v="0"/>
          </reference>
        </references>
      </pivotArea>
    </chartFormat>
    <chartFormat chart="30" format="231">
      <pivotArea type="data" outline="0" fieldPosition="0">
        <references count="3">
          <reference field="4294967294" count="1" selected="0">
            <x v="2"/>
          </reference>
          <reference field="0" count="1" selected="0">
            <x v="4"/>
          </reference>
          <reference field="1" count="1" selected="0">
            <x v="0"/>
          </reference>
        </references>
      </pivotArea>
    </chartFormat>
    <chartFormat chart="30" format="232">
      <pivotArea type="data" outline="0" fieldPosition="0">
        <references count="3">
          <reference field="4294967294" count="1" selected="0">
            <x v="2"/>
          </reference>
          <reference field="0" count="1" selected="0">
            <x v="5"/>
          </reference>
          <reference field="1" count="1" selected="0">
            <x v="0"/>
          </reference>
        </references>
      </pivotArea>
    </chartFormat>
    <chartFormat chart="30" format="233">
      <pivotArea type="data" outline="0" fieldPosition="0">
        <references count="3">
          <reference field="4294967294" count="1" selected="0">
            <x v="2"/>
          </reference>
          <reference field="0" count="1" selected="0">
            <x v="6"/>
          </reference>
          <reference field="1" count="1" selected="0">
            <x v="0"/>
          </reference>
        </references>
      </pivotArea>
    </chartFormat>
    <chartFormat chart="30" format="234">
      <pivotArea type="data" outline="0" fieldPosition="0">
        <references count="3">
          <reference field="4294967294" count="1" selected="0">
            <x v="2"/>
          </reference>
          <reference field="0" count="1" selected="0">
            <x v="7"/>
          </reference>
          <reference field="1" count="1" selected="0">
            <x v="0"/>
          </reference>
        </references>
      </pivotArea>
    </chartFormat>
    <chartFormat chart="30" format="235">
      <pivotArea type="data" outline="0" fieldPosition="0">
        <references count="3">
          <reference field="4294967294" count="1" selected="0">
            <x v="2"/>
          </reference>
          <reference field="0" count="1" selected="0">
            <x v="8"/>
          </reference>
          <reference field="1" count="1" selected="0">
            <x v="0"/>
          </reference>
        </references>
      </pivotArea>
    </chartFormat>
    <chartFormat chart="30" format="236">
      <pivotArea type="data" outline="0" fieldPosition="0">
        <references count="3">
          <reference field="4294967294" count="1" selected="0">
            <x v="2"/>
          </reference>
          <reference field="0" count="1" selected="0">
            <x v="9"/>
          </reference>
          <reference field="1" count="1" selected="0">
            <x v="0"/>
          </reference>
        </references>
      </pivotArea>
    </chartFormat>
    <chartFormat chart="30" format="237">
      <pivotArea type="data" outline="0" fieldPosition="0">
        <references count="3">
          <reference field="4294967294" count="1" selected="0">
            <x v="2"/>
          </reference>
          <reference field="0" count="1" selected="0">
            <x v="10"/>
          </reference>
          <reference field="1" count="1" selected="0">
            <x v="0"/>
          </reference>
        </references>
      </pivotArea>
    </chartFormat>
    <chartFormat chart="30" format="238">
      <pivotArea type="data" outline="0" fieldPosition="0">
        <references count="3">
          <reference field="4294967294" count="1" selected="0">
            <x v="2"/>
          </reference>
          <reference field="0" count="1" selected="0">
            <x v="11"/>
          </reference>
          <reference field="1" count="1" selected="0">
            <x v="0"/>
          </reference>
        </references>
      </pivotArea>
    </chartFormat>
    <chartFormat chart="30" format="239">
      <pivotArea type="data" outline="0" fieldPosition="0">
        <references count="3">
          <reference field="4294967294" count="1" selected="0">
            <x v="2"/>
          </reference>
          <reference field="0" count="1" selected="0">
            <x v="12"/>
          </reference>
          <reference field="1" count="1" selected="0">
            <x v="0"/>
          </reference>
        </references>
      </pivotArea>
    </chartFormat>
    <chartFormat chart="30" format="240">
      <pivotArea type="data" outline="0" fieldPosition="0">
        <references count="3">
          <reference field="4294967294" count="1" selected="0">
            <x v="2"/>
          </reference>
          <reference field="0" count="1" selected="0">
            <x v="13"/>
          </reference>
          <reference field="1" count="1" selected="0">
            <x v="0"/>
          </reference>
        </references>
      </pivotArea>
    </chartFormat>
    <chartFormat chart="30" format="241">
      <pivotArea type="data" outline="0" fieldPosition="0">
        <references count="3">
          <reference field="4294967294" count="1" selected="0">
            <x v="2"/>
          </reference>
          <reference field="0" count="1" selected="0">
            <x v="14"/>
          </reference>
          <reference field="1" count="1" selected="0">
            <x v="0"/>
          </reference>
        </references>
      </pivotArea>
    </chartFormat>
    <chartFormat chart="30" format="242">
      <pivotArea type="data" outline="0" fieldPosition="0">
        <references count="3">
          <reference field="4294967294" count="1" selected="0">
            <x v="2"/>
          </reference>
          <reference field="0" count="1" selected="0">
            <x v="15"/>
          </reference>
          <reference field="1" count="1" selected="0">
            <x v="0"/>
          </reference>
        </references>
      </pivotArea>
    </chartFormat>
    <chartFormat chart="30" format="243">
      <pivotArea type="data" outline="0" fieldPosition="0">
        <references count="3">
          <reference field="4294967294" count="1" selected="0">
            <x v="2"/>
          </reference>
          <reference field="0" count="1" selected="0">
            <x v="16"/>
          </reference>
          <reference field="1" count="1" selected="0">
            <x v="0"/>
          </reference>
        </references>
      </pivotArea>
    </chartFormat>
    <chartFormat chart="30" format="244">
      <pivotArea type="data" outline="0" fieldPosition="0">
        <references count="3">
          <reference field="4294967294" count="1" selected="0">
            <x v="2"/>
          </reference>
          <reference field="0" count="1" selected="0">
            <x v="17"/>
          </reference>
          <reference field="1" count="1" selected="0">
            <x v="0"/>
          </reference>
        </references>
      </pivotArea>
    </chartFormat>
    <chartFormat chart="30" format="245">
      <pivotArea type="data" outline="0" fieldPosition="0">
        <references count="3">
          <reference field="4294967294" count="1" selected="0">
            <x v="2"/>
          </reference>
          <reference field="0" count="1" selected="0">
            <x v="18"/>
          </reference>
          <reference field="1" count="1" selected="0">
            <x v="0"/>
          </reference>
        </references>
      </pivotArea>
    </chartFormat>
    <chartFormat chart="30" format="246">
      <pivotArea type="data" outline="0" fieldPosition="0">
        <references count="3">
          <reference field="4294967294" count="1" selected="0">
            <x v="2"/>
          </reference>
          <reference field="0" count="1" selected="0">
            <x v="19"/>
          </reference>
          <reference field="1" count="1" selected="0">
            <x v="0"/>
          </reference>
        </references>
      </pivotArea>
    </chartFormat>
    <chartFormat chart="30" format="247">
      <pivotArea type="data" outline="0" fieldPosition="0">
        <references count="3">
          <reference field="4294967294" count="1" selected="0">
            <x v="2"/>
          </reference>
          <reference field="0" count="1" selected="0">
            <x v="20"/>
          </reference>
          <reference field="1" count="1" selected="0">
            <x v="0"/>
          </reference>
        </references>
      </pivotArea>
    </chartFormat>
    <chartFormat chart="30" format="248">
      <pivotArea type="data" outline="0" fieldPosition="0">
        <references count="3">
          <reference field="4294967294" count="1" selected="0">
            <x v="2"/>
          </reference>
          <reference field="0" count="1" selected="0">
            <x v="21"/>
          </reference>
          <reference field="1" count="1" selected="0">
            <x v="0"/>
          </reference>
        </references>
      </pivotArea>
    </chartFormat>
    <chartFormat chart="30" format="249">
      <pivotArea type="data" outline="0" fieldPosition="0">
        <references count="3">
          <reference field="4294967294" count="1" selected="0">
            <x v="2"/>
          </reference>
          <reference field="0" count="1" selected="0">
            <x v="22"/>
          </reference>
          <reference field="1" count="1" selected="0">
            <x v="0"/>
          </reference>
        </references>
      </pivotArea>
    </chartFormat>
    <chartFormat chart="30" format="250">
      <pivotArea type="data" outline="0" fieldPosition="0">
        <references count="3">
          <reference field="4294967294" count="1" selected="0">
            <x v="2"/>
          </reference>
          <reference field="0" count="1" selected="0">
            <x v="23"/>
          </reference>
          <reference field="1" count="1" selected="0">
            <x v="0"/>
          </reference>
        </references>
      </pivotArea>
    </chartFormat>
    <chartFormat chart="30" format="251">
      <pivotArea type="data" outline="0" fieldPosition="0">
        <references count="3">
          <reference field="4294967294" count="1" selected="0">
            <x v="2"/>
          </reference>
          <reference field="0" count="1" selected="0">
            <x v="24"/>
          </reference>
          <reference field="1" count="1" selected="0">
            <x v="0"/>
          </reference>
        </references>
      </pivotArea>
    </chartFormat>
    <chartFormat chart="30" format="252">
      <pivotArea type="data" outline="0" fieldPosition="0">
        <references count="3">
          <reference field="4294967294" count="1" selected="0">
            <x v="2"/>
          </reference>
          <reference field="0" count="1" selected="0">
            <x v="25"/>
          </reference>
          <reference field="1" count="1" selected="0">
            <x v="0"/>
          </reference>
        </references>
      </pivotArea>
    </chartFormat>
    <chartFormat chart="30" format="253">
      <pivotArea type="data" outline="0" fieldPosition="0">
        <references count="3">
          <reference field="4294967294" count="1" selected="0">
            <x v="2"/>
          </reference>
          <reference field="0" count="1" selected="0">
            <x v="26"/>
          </reference>
          <reference field="1" count="1" selected="0">
            <x v="0"/>
          </reference>
        </references>
      </pivotArea>
    </chartFormat>
    <chartFormat chart="30" format="254">
      <pivotArea type="data" outline="0" fieldPosition="0">
        <references count="3">
          <reference field="4294967294" count="1" selected="0">
            <x v="2"/>
          </reference>
          <reference field="0" count="1" selected="0">
            <x v="27"/>
          </reference>
          <reference field="1" count="1" selected="0">
            <x v="0"/>
          </reference>
        </references>
      </pivotArea>
    </chartFormat>
    <chartFormat chart="30" format="255">
      <pivotArea type="data" outline="0" fieldPosition="0">
        <references count="3">
          <reference field="4294967294" count="1" selected="0">
            <x v="2"/>
          </reference>
          <reference field="0" count="1" selected="0">
            <x v="28"/>
          </reference>
          <reference field="1" count="1" selected="0">
            <x v="0"/>
          </reference>
        </references>
      </pivotArea>
    </chartFormat>
    <chartFormat chart="30" format="256">
      <pivotArea type="data" outline="0" fieldPosition="0">
        <references count="3">
          <reference field="4294967294" count="1" selected="0">
            <x v="2"/>
          </reference>
          <reference field="0" count="1" selected="0">
            <x v="29"/>
          </reference>
          <reference field="1" count="1" selected="0">
            <x v="0"/>
          </reference>
        </references>
      </pivotArea>
    </chartFormat>
    <chartFormat chart="30" format="257">
      <pivotArea type="data" outline="0" fieldPosition="0">
        <references count="3">
          <reference field="4294967294" count="1" selected="0">
            <x v="2"/>
          </reference>
          <reference field="0" count="1" selected="0">
            <x v="30"/>
          </reference>
          <reference field="1" count="1" selected="0">
            <x v="0"/>
          </reference>
        </references>
      </pivotArea>
    </chartFormat>
    <chartFormat chart="30" format="258">
      <pivotArea type="data" outline="0" fieldPosition="0">
        <references count="3">
          <reference field="4294967294" count="1" selected="0">
            <x v="2"/>
          </reference>
          <reference field="0" count="1" selected="0">
            <x v="31"/>
          </reference>
          <reference field="1" count="1" selected="0">
            <x v="0"/>
          </reference>
        </references>
      </pivotArea>
    </chartFormat>
    <chartFormat chart="30" format="259">
      <pivotArea type="data" outline="0" fieldPosition="0">
        <references count="3">
          <reference field="4294967294" count="1" selected="0">
            <x v="2"/>
          </reference>
          <reference field="0" count="1" selected="0">
            <x v="32"/>
          </reference>
          <reference field="1" count="1" selected="0">
            <x v="0"/>
          </reference>
        </references>
      </pivotArea>
    </chartFormat>
    <chartFormat chart="30" format="260">
      <pivotArea type="data" outline="0" fieldPosition="0">
        <references count="3">
          <reference field="4294967294" count="1" selected="0">
            <x v="2"/>
          </reference>
          <reference field="0" count="1" selected="0">
            <x v="33"/>
          </reference>
          <reference field="1" count="1" selected="0">
            <x v="0"/>
          </reference>
        </references>
      </pivotArea>
    </chartFormat>
    <chartFormat chart="30" format="261">
      <pivotArea type="data" outline="0" fieldPosition="0">
        <references count="3">
          <reference field="4294967294" count="1" selected="0">
            <x v="2"/>
          </reference>
          <reference field="0" count="1" selected="0">
            <x v="34"/>
          </reference>
          <reference field="1" count="1" selected="0">
            <x v="0"/>
          </reference>
        </references>
      </pivotArea>
    </chartFormat>
    <chartFormat chart="30" format="262">
      <pivotArea type="data" outline="0" fieldPosition="0">
        <references count="3">
          <reference field="4294967294" count="1" selected="0">
            <x v="2"/>
          </reference>
          <reference field="0" count="1" selected="0">
            <x v="35"/>
          </reference>
          <reference field="1" count="1" selected="0">
            <x v="0"/>
          </reference>
        </references>
      </pivotArea>
    </chartFormat>
    <chartFormat chart="30" format="263" series="1">
      <pivotArea type="data" outline="0" fieldPosition="0">
        <references count="1">
          <reference field="4294967294" count="1" selected="0">
            <x v="3"/>
          </reference>
        </references>
      </pivotArea>
    </chartFormat>
    <chartFormat chart="30" format="264">
      <pivotArea type="data" outline="0" fieldPosition="0">
        <references count="3">
          <reference field="4294967294" count="1" selected="0">
            <x v="3"/>
          </reference>
          <reference field="0" count="1" selected="0">
            <x v="0"/>
          </reference>
          <reference field="1" count="1" selected="0">
            <x v="0"/>
          </reference>
        </references>
      </pivotArea>
    </chartFormat>
    <chartFormat chart="30" format="265">
      <pivotArea type="data" outline="0" fieldPosition="0">
        <references count="3">
          <reference field="4294967294" count="1" selected="0">
            <x v="3"/>
          </reference>
          <reference field="0" count="1" selected="0">
            <x v="1"/>
          </reference>
          <reference field="1" count="1" selected="0">
            <x v="0"/>
          </reference>
        </references>
      </pivotArea>
    </chartFormat>
    <chartFormat chart="30" format="266">
      <pivotArea type="data" outline="0" fieldPosition="0">
        <references count="3">
          <reference field="4294967294" count="1" selected="0">
            <x v="3"/>
          </reference>
          <reference field="0" count="1" selected="0">
            <x v="2"/>
          </reference>
          <reference field="1" count="1" selected="0">
            <x v="0"/>
          </reference>
        </references>
      </pivotArea>
    </chartFormat>
    <chartFormat chart="30" format="267">
      <pivotArea type="data" outline="0" fieldPosition="0">
        <references count="3">
          <reference field="4294967294" count="1" selected="0">
            <x v="3"/>
          </reference>
          <reference field="0" count="1" selected="0">
            <x v="3"/>
          </reference>
          <reference field="1" count="1" selected="0">
            <x v="0"/>
          </reference>
        </references>
      </pivotArea>
    </chartFormat>
    <chartFormat chart="30" format="268">
      <pivotArea type="data" outline="0" fieldPosition="0">
        <references count="3">
          <reference field="4294967294" count="1" selected="0">
            <x v="3"/>
          </reference>
          <reference field="0" count="1" selected="0">
            <x v="4"/>
          </reference>
          <reference field="1" count="1" selected="0">
            <x v="0"/>
          </reference>
        </references>
      </pivotArea>
    </chartFormat>
    <chartFormat chart="30" format="269">
      <pivotArea type="data" outline="0" fieldPosition="0">
        <references count="3">
          <reference field="4294967294" count="1" selected="0">
            <x v="3"/>
          </reference>
          <reference field="0" count="1" selected="0">
            <x v="5"/>
          </reference>
          <reference field="1" count="1" selected="0">
            <x v="0"/>
          </reference>
        </references>
      </pivotArea>
    </chartFormat>
    <chartFormat chart="30" format="270">
      <pivotArea type="data" outline="0" fieldPosition="0">
        <references count="3">
          <reference field="4294967294" count="1" selected="0">
            <x v="3"/>
          </reference>
          <reference field="0" count="1" selected="0">
            <x v="6"/>
          </reference>
          <reference field="1" count="1" selected="0">
            <x v="0"/>
          </reference>
        </references>
      </pivotArea>
    </chartFormat>
    <chartFormat chart="30" format="271">
      <pivotArea type="data" outline="0" fieldPosition="0">
        <references count="3">
          <reference field="4294967294" count="1" selected="0">
            <x v="3"/>
          </reference>
          <reference field="0" count="1" selected="0">
            <x v="7"/>
          </reference>
          <reference field="1" count="1" selected="0">
            <x v="0"/>
          </reference>
        </references>
      </pivotArea>
    </chartFormat>
    <chartFormat chart="30" format="272">
      <pivotArea type="data" outline="0" fieldPosition="0">
        <references count="3">
          <reference field="4294967294" count="1" selected="0">
            <x v="3"/>
          </reference>
          <reference field="0" count="1" selected="0">
            <x v="8"/>
          </reference>
          <reference field="1" count="1" selected="0">
            <x v="0"/>
          </reference>
        </references>
      </pivotArea>
    </chartFormat>
    <chartFormat chart="30" format="273">
      <pivotArea type="data" outline="0" fieldPosition="0">
        <references count="3">
          <reference field="4294967294" count="1" selected="0">
            <x v="3"/>
          </reference>
          <reference field="0" count="1" selected="0">
            <x v="9"/>
          </reference>
          <reference field="1" count="1" selected="0">
            <x v="0"/>
          </reference>
        </references>
      </pivotArea>
    </chartFormat>
    <chartFormat chart="30" format="274">
      <pivotArea type="data" outline="0" fieldPosition="0">
        <references count="3">
          <reference field="4294967294" count="1" selected="0">
            <x v="3"/>
          </reference>
          <reference field="0" count="1" selected="0">
            <x v="10"/>
          </reference>
          <reference field="1" count="1" selected="0">
            <x v="0"/>
          </reference>
        </references>
      </pivotArea>
    </chartFormat>
    <chartFormat chart="30" format="275">
      <pivotArea type="data" outline="0" fieldPosition="0">
        <references count="3">
          <reference field="4294967294" count="1" selected="0">
            <x v="3"/>
          </reference>
          <reference field="0" count="1" selected="0">
            <x v="11"/>
          </reference>
          <reference field="1" count="1" selected="0">
            <x v="0"/>
          </reference>
        </references>
      </pivotArea>
    </chartFormat>
    <chartFormat chart="30" format="276">
      <pivotArea type="data" outline="0" fieldPosition="0">
        <references count="3">
          <reference field="4294967294" count="1" selected="0">
            <x v="3"/>
          </reference>
          <reference field="0" count="1" selected="0">
            <x v="12"/>
          </reference>
          <reference field="1" count="1" selected="0">
            <x v="0"/>
          </reference>
        </references>
      </pivotArea>
    </chartFormat>
    <chartFormat chart="30" format="277">
      <pivotArea type="data" outline="0" fieldPosition="0">
        <references count="3">
          <reference field="4294967294" count="1" selected="0">
            <x v="3"/>
          </reference>
          <reference field="0" count="1" selected="0">
            <x v="13"/>
          </reference>
          <reference field="1" count="1" selected="0">
            <x v="0"/>
          </reference>
        </references>
      </pivotArea>
    </chartFormat>
    <chartFormat chart="30" format="278">
      <pivotArea type="data" outline="0" fieldPosition="0">
        <references count="3">
          <reference field="4294967294" count="1" selected="0">
            <x v="3"/>
          </reference>
          <reference field="0" count="1" selected="0">
            <x v="14"/>
          </reference>
          <reference field="1" count="1" selected="0">
            <x v="0"/>
          </reference>
        </references>
      </pivotArea>
    </chartFormat>
    <chartFormat chart="30" format="279">
      <pivotArea type="data" outline="0" fieldPosition="0">
        <references count="3">
          <reference field="4294967294" count="1" selected="0">
            <x v="3"/>
          </reference>
          <reference field="0" count="1" selected="0">
            <x v="15"/>
          </reference>
          <reference field="1" count="1" selected="0">
            <x v="0"/>
          </reference>
        </references>
      </pivotArea>
    </chartFormat>
    <chartFormat chart="30" format="280">
      <pivotArea type="data" outline="0" fieldPosition="0">
        <references count="3">
          <reference field="4294967294" count="1" selected="0">
            <x v="3"/>
          </reference>
          <reference field="0" count="1" selected="0">
            <x v="16"/>
          </reference>
          <reference field="1" count="1" selected="0">
            <x v="0"/>
          </reference>
        </references>
      </pivotArea>
    </chartFormat>
    <chartFormat chart="30" format="281">
      <pivotArea type="data" outline="0" fieldPosition="0">
        <references count="3">
          <reference field="4294967294" count="1" selected="0">
            <x v="3"/>
          </reference>
          <reference field="0" count="1" selected="0">
            <x v="17"/>
          </reference>
          <reference field="1" count="1" selected="0">
            <x v="0"/>
          </reference>
        </references>
      </pivotArea>
    </chartFormat>
    <chartFormat chart="30" format="282">
      <pivotArea type="data" outline="0" fieldPosition="0">
        <references count="3">
          <reference field="4294967294" count="1" selected="0">
            <x v="3"/>
          </reference>
          <reference field="0" count="1" selected="0">
            <x v="18"/>
          </reference>
          <reference field="1" count="1" selected="0">
            <x v="0"/>
          </reference>
        </references>
      </pivotArea>
    </chartFormat>
    <chartFormat chart="30" format="283">
      <pivotArea type="data" outline="0" fieldPosition="0">
        <references count="3">
          <reference field="4294967294" count="1" selected="0">
            <x v="3"/>
          </reference>
          <reference field="0" count="1" selected="0">
            <x v="19"/>
          </reference>
          <reference field="1" count="1" selected="0">
            <x v="0"/>
          </reference>
        </references>
      </pivotArea>
    </chartFormat>
    <chartFormat chart="30" format="284">
      <pivotArea type="data" outline="0" fieldPosition="0">
        <references count="3">
          <reference field="4294967294" count="1" selected="0">
            <x v="3"/>
          </reference>
          <reference field="0" count="1" selected="0">
            <x v="20"/>
          </reference>
          <reference field="1" count="1" selected="0">
            <x v="0"/>
          </reference>
        </references>
      </pivotArea>
    </chartFormat>
    <chartFormat chart="30" format="285">
      <pivotArea type="data" outline="0" fieldPosition="0">
        <references count="3">
          <reference field="4294967294" count="1" selected="0">
            <x v="3"/>
          </reference>
          <reference field="0" count="1" selected="0">
            <x v="21"/>
          </reference>
          <reference field="1" count="1" selected="0">
            <x v="0"/>
          </reference>
        </references>
      </pivotArea>
    </chartFormat>
    <chartFormat chart="30" format="286">
      <pivotArea type="data" outline="0" fieldPosition="0">
        <references count="3">
          <reference field="4294967294" count="1" selected="0">
            <x v="3"/>
          </reference>
          <reference field="0" count="1" selected="0">
            <x v="22"/>
          </reference>
          <reference field="1" count="1" selected="0">
            <x v="0"/>
          </reference>
        </references>
      </pivotArea>
    </chartFormat>
    <chartFormat chart="30" format="287">
      <pivotArea type="data" outline="0" fieldPosition="0">
        <references count="3">
          <reference field="4294967294" count="1" selected="0">
            <x v="3"/>
          </reference>
          <reference field="0" count="1" selected="0">
            <x v="23"/>
          </reference>
          <reference field="1" count="1" selected="0">
            <x v="0"/>
          </reference>
        </references>
      </pivotArea>
    </chartFormat>
    <chartFormat chart="30" format="288">
      <pivotArea type="data" outline="0" fieldPosition="0">
        <references count="3">
          <reference field="4294967294" count="1" selected="0">
            <x v="3"/>
          </reference>
          <reference field="0" count="1" selected="0">
            <x v="24"/>
          </reference>
          <reference field="1" count="1" selected="0">
            <x v="0"/>
          </reference>
        </references>
      </pivotArea>
    </chartFormat>
    <chartFormat chart="30" format="289">
      <pivotArea type="data" outline="0" fieldPosition="0">
        <references count="3">
          <reference field="4294967294" count="1" selected="0">
            <x v="3"/>
          </reference>
          <reference field="0" count="1" selected="0">
            <x v="25"/>
          </reference>
          <reference field="1" count="1" selected="0">
            <x v="0"/>
          </reference>
        </references>
      </pivotArea>
    </chartFormat>
    <chartFormat chart="30" format="290">
      <pivotArea type="data" outline="0" fieldPosition="0">
        <references count="3">
          <reference field="4294967294" count="1" selected="0">
            <x v="3"/>
          </reference>
          <reference field="0" count="1" selected="0">
            <x v="26"/>
          </reference>
          <reference field="1" count="1" selected="0">
            <x v="0"/>
          </reference>
        </references>
      </pivotArea>
    </chartFormat>
    <chartFormat chart="30" format="291">
      <pivotArea type="data" outline="0" fieldPosition="0">
        <references count="3">
          <reference field="4294967294" count="1" selected="0">
            <x v="3"/>
          </reference>
          <reference field="0" count="1" selected="0">
            <x v="27"/>
          </reference>
          <reference field="1" count="1" selected="0">
            <x v="0"/>
          </reference>
        </references>
      </pivotArea>
    </chartFormat>
    <chartFormat chart="30" format="292">
      <pivotArea type="data" outline="0" fieldPosition="0">
        <references count="3">
          <reference field="4294967294" count="1" selected="0">
            <x v="3"/>
          </reference>
          <reference field="0" count="1" selected="0">
            <x v="28"/>
          </reference>
          <reference field="1" count="1" selected="0">
            <x v="0"/>
          </reference>
        </references>
      </pivotArea>
    </chartFormat>
    <chartFormat chart="30" format="293">
      <pivotArea type="data" outline="0" fieldPosition="0">
        <references count="3">
          <reference field="4294967294" count="1" selected="0">
            <x v="3"/>
          </reference>
          <reference field="0" count="1" selected="0">
            <x v="29"/>
          </reference>
          <reference field="1" count="1" selected="0">
            <x v="0"/>
          </reference>
        </references>
      </pivotArea>
    </chartFormat>
    <chartFormat chart="30" format="294">
      <pivotArea type="data" outline="0" fieldPosition="0">
        <references count="3">
          <reference field="4294967294" count="1" selected="0">
            <x v="3"/>
          </reference>
          <reference field="0" count="1" selected="0">
            <x v="30"/>
          </reference>
          <reference field="1" count="1" selected="0">
            <x v="0"/>
          </reference>
        </references>
      </pivotArea>
    </chartFormat>
    <chartFormat chart="30" format="295">
      <pivotArea type="data" outline="0" fieldPosition="0">
        <references count="3">
          <reference field="4294967294" count="1" selected="0">
            <x v="3"/>
          </reference>
          <reference field="0" count="1" selected="0">
            <x v="31"/>
          </reference>
          <reference field="1" count="1" selected="0">
            <x v="0"/>
          </reference>
        </references>
      </pivotArea>
    </chartFormat>
    <chartFormat chart="30" format="296">
      <pivotArea type="data" outline="0" fieldPosition="0">
        <references count="3">
          <reference field="4294967294" count="1" selected="0">
            <x v="3"/>
          </reference>
          <reference field="0" count="1" selected="0">
            <x v="32"/>
          </reference>
          <reference field="1" count="1" selected="0">
            <x v="0"/>
          </reference>
        </references>
      </pivotArea>
    </chartFormat>
    <chartFormat chart="30" format="297">
      <pivotArea type="data" outline="0" fieldPosition="0">
        <references count="3">
          <reference field="4294967294" count="1" selected="0">
            <x v="3"/>
          </reference>
          <reference field="0" count="1" selected="0">
            <x v="33"/>
          </reference>
          <reference field="1" count="1" selected="0">
            <x v="0"/>
          </reference>
        </references>
      </pivotArea>
    </chartFormat>
    <chartFormat chart="30" format="298">
      <pivotArea type="data" outline="0" fieldPosition="0">
        <references count="3">
          <reference field="4294967294" count="1" selected="0">
            <x v="3"/>
          </reference>
          <reference field="0" count="1" selected="0">
            <x v="34"/>
          </reference>
          <reference field="1" count="1" selected="0">
            <x v="0"/>
          </reference>
        </references>
      </pivotArea>
    </chartFormat>
    <chartFormat chart="30" format="299">
      <pivotArea type="data" outline="0" fieldPosition="0">
        <references count="3">
          <reference field="4294967294" count="1" selected="0">
            <x v="3"/>
          </reference>
          <reference field="0" count="1" selected="0">
            <x v="35"/>
          </reference>
          <reference field="1"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7" format="2" series="1">
      <pivotArea type="data" outline="0" fieldPosition="0">
        <references count="1">
          <reference field="4294967294" count="1" selected="0">
            <x v="2"/>
          </reference>
        </references>
      </pivotArea>
    </chartFormat>
    <chartFormat chart="37" format="3" series="1">
      <pivotArea type="data" outline="0" fieldPosition="0">
        <references count="1">
          <reference field="4294967294" count="1" selected="0">
            <x v="3"/>
          </reference>
        </references>
      </pivotArea>
    </chartFormat>
    <chartFormat chart="30" format="300">
      <pivotArea type="data" outline="0" fieldPosition="0">
        <references count="3">
          <reference field="4294967294" count="1" selected="0">
            <x v="0"/>
          </reference>
          <reference field="0" count="1" selected="0">
            <x v="0"/>
          </reference>
          <reference field="1" count="1" selected="0">
            <x v="1"/>
          </reference>
        </references>
      </pivotArea>
    </chartFormat>
    <chartFormat chart="30" format="301">
      <pivotArea type="data" outline="0" fieldPosition="0">
        <references count="3">
          <reference field="4294967294" count="1" selected="0">
            <x v="0"/>
          </reference>
          <reference field="0" count="1" selected="0">
            <x v="1"/>
          </reference>
          <reference field="1" count="1" selected="0">
            <x v="1"/>
          </reference>
        </references>
      </pivotArea>
    </chartFormat>
    <chartFormat chart="30" format="302">
      <pivotArea type="data" outline="0" fieldPosition="0">
        <references count="3">
          <reference field="4294967294" count="1" selected="0">
            <x v="0"/>
          </reference>
          <reference field="0" count="1" selected="0">
            <x v="2"/>
          </reference>
          <reference field="1" count="1" selected="0">
            <x v="1"/>
          </reference>
        </references>
      </pivotArea>
    </chartFormat>
    <chartFormat chart="30" format="303">
      <pivotArea type="data" outline="0" fieldPosition="0">
        <references count="3">
          <reference field="4294967294" count="1" selected="0">
            <x v="0"/>
          </reference>
          <reference field="0" count="1" selected="0">
            <x v="3"/>
          </reference>
          <reference field="1" count="1" selected="0">
            <x v="1"/>
          </reference>
        </references>
      </pivotArea>
    </chartFormat>
    <chartFormat chart="30" format="304">
      <pivotArea type="data" outline="0" fieldPosition="0">
        <references count="3">
          <reference field="4294967294" count="1" selected="0">
            <x v="0"/>
          </reference>
          <reference field="0" count="1" selected="0">
            <x v="4"/>
          </reference>
          <reference field="1" count="1" selected="0">
            <x v="1"/>
          </reference>
        </references>
      </pivotArea>
    </chartFormat>
    <chartFormat chart="30" format="305">
      <pivotArea type="data" outline="0" fieldPosition="0">
        <references count="3">
          <reference field="4294967294" count="1" selected="0">
            <x v="0"/>
          </reference>
          <reference field="0" count="1" selected="0">
            <x v="5"/>
          </reference>
          <reference field="1" count="1" selected="0">
            <x v="1"/>
          </reference>
        </references>
      </pivotArea>
    </chartFormat>
    <chartFormat chart="30" format="306">
      <pivotArea type="data" outline="0" fieldPosition="0">
        <references count="3">
          <reference field="4294967294" count="1" selected="0">
            <x v="0"/>
          </reference>
          <reference field="0" count="1" selected="0">
            <x v="6"/>
          </reference>
          <reference field="1" count="1" selected="0">
            <x v="1"/>
          </reference>
        </references>
      </pivotArea>
    </chartFormat>
    <chartFormat chart="30" format="307">
      <pivotArea type="data" outline="0" fieldPosition="0">
        <references count="3">
          <reference field="4294967294" count="1" selected="0">
            <x v="0"/>
          </reference>
          <reference field="0" count="1" selected="0">
            <x v="7"/>
          </reference>
          <reference field="1" count="1" selected="0">
            <x v="1"/>
          </reference>
        </references>
      </pivotArea>
    </chartFormat>
    <chartFormat chart="30" format="308">
      <pivotArea type="data" outline="0" fieldPosition="0">
        <references count="3">
          <reference field="4294967294" count="1" selected="0">
            <x v="0"/>
          </reference>
          <reference field="0" count="1" selected="0">
            <x v="8"/>
          </reference>
          <reference field="1" count="1" selected="0">
            <x v="1"/>
          </reference>
        </references>
      </pivotArea>
    </chartFormat>
    <chartFormat chart="30" format="309">
      <pivotArea type="data" outline="0" fieldPosition="0">
        <references count="3">
          <reference field="4294967294" count="1" selected="0">
            <x v="0"/>
          </reference>
          <reference field="0" count="1" selected="0">
            <x v="9"/>
          </reference>
          <reference field="1" count="1" selected="0">
            <x v="1"/>
          </reference>
        </references>
      </pivotArea>
    </chartFormat>
    <chartFormat chart="30" format="310">
      <pivotArea type="data" outline="0" fieldPosition="0">
        <references count="3">
          <reference field="4294967294" count="1" selected="0">
            <x v="0"/>
          </reference>
          <reference field="0" count="1" selected="0">
            <x v="10"/>
          </reference>
          <reference field="1" count="1" selected="0">
            <x v="1"/>
          </reference>
        </references>
      </pivotArea>
    </chartFormat>
    <chartFormat chart="30" format="311">
      <pivotArea type="data" outline="0" fieldPosition="0">
        <references count="3">
          <reference field="4294967294" count="1" selected="0">
            <x v="0"/>
          </reference>
          <reference field="0" count="1" selected="0">
            <x v="11"/>
          </reference>
          <reference field="1" count="1" selected="0">
            <x v="1"/>
          </reference>
        </references>
      </pivotArea>
    </chartFormat>
    <chartFormat chart="30" format="312">
      <pivotArea type="data" outline="0" fieldPosition="0">
        <references count="3">
          <reference field="4294967294" count="1" selected="0">
            <x v="0"/>
          </reference>
          <reference field="0" count="1" selected="0">
            <x v="12"/>
          </reference>
          <reference field="1" count="1" selected="0">
            <x v="1"/>
          </reference>
        </references>
      </pivotArea>
    </chartFormat>
    <chartFormat chart="30" format="313">
      <pivotArea type="data" outline="0" fieldPosition="0">
        <references count="3">
          <reference field="4294967294" count="1" selected="0">
            <x v="0"/>
          </reference>
          <reference field="0" count="1" selected="0">
            <x v="13"/>
          </reference>
          <reference field="1" count="1" selected="0">
            <x v="1"/>
          </reference>
        </references>
      </pivotArea>
    </chartFormat>
    <chartFormat chart="30" format="314">
      <pivotArea type="data" outline="0" fieldPosition="0">
        <references count="3">
          <reference field="4294967294" count="1" selected="0">
            <x v="0"/>
          </reference>
          <reference field="0" count="1" selected="0">
            <x v="14"/>
          </reference>
          <reference field="1" count="1" selected="0">
            <x v="1"/>
          </reference>
        </references>
      </pivotArea>
    </chartFormat>
    <chartFormat chart="30" format="315">
      <pivotArea type="data" outline="0" fieldPosition="0">
        <references count="3">
          <reference field="4294967294" count="1" selected="0">
            <x v="0"/>
          </reference>
          <reference field="0" count="1" selected="0">
            <x v="15"/>
          </reference>
          <reference field="1" count="1" selected="0">
            <x v="1"/>
          </reference>
        </references>
      </pivotArea>
    </chartFormat>
    <chartFormat chart="30" format="316">
      <pivotArea type="data" outline="0" fieldPosition="0">
        <references count="3">
          <reference field="4294967294" count="1" selected="0">
            <x v="0"/>
          </reference>
          <reference field="0" count="1" selected="0">
            <x v="16"/>
          </reference>
          <reference field="1" count="1" selected="0">
            <x v="1"/>
          </reference>
        </references>
      </pivotArea>
    </chartFormat>
    <chartFormat chart="30" format="317">
      <pivotArea type="data" outline="0" fieldPosition="0">
        <references count="3">
          <reference field="4294967294" count="1" selected="0">
            <x v="0"/>
          </reference>
          <reference field="0" count="1" selected="0">
            <x v="17"/>
          </reference>
          <reference field="1" count="1" selected="0">
            <x v="1"/>
          </reference>
        </references>
      </pivotArea>
    </chartFormat>
    <chartFormat chart="30" format="318">
      <pivotArea type="data" outline="0" fieldPosition="0">
        <references count="3">
          <reference field="4294967294" count="1" selected="0">
            <x v="0"/>
          </reference>
          <reference field="0" count="1" selected="0">
            <x v="18"/>
          </reference>
          <reference field="1" count="1" selected="0">
            <x v="1"/>
          </reference>
        </references>
      </pivotArea>
    </chartFormat>
    <chartFormat chart="30" format="319">
      <pivotArea type="data" outline="0" fieldPosition="0">
        <references count="3">
          <reference field="4294967294" count="1" selected="0">
            <x v="0"/>
          </reference>
          <reference field="0" count="1" selected="0">
            <x v="19"/>
          </reference>
          <reference field="1" count="1" selected="0">
            <x v="1"/>
          </reference>
        </references>
      </pivotArea>
    </chartFormat>
    <chartFormat chart="30" format="320">
      <pivotArea type="data" outline="0" fieldPosition="0">
        <references count="3">
          <reference field="4294967294" count="1" selected="0">
            <x v="0"/>
          </reference>
          <reference field="0" count="1" selected="0">
            <x v="20"/>
          </reference>
          <reference field="1" count="1" selected="0">
            <x v="1"/>
          </reference>
        </references>
      </pivotArea>
    </chartFormat>
    <chartFormat chart="30" format="321">
      <pivotArea type="data" outline="0" fieldPosition="0">
        <references count="3">
          <reference field="4294967294" count="1" selected="0">
            <x v="0"/>
          </reference>
          <reference field="0" count="1" selected="0">
            <x v="21"/>
          </reference>
          <reference field="1" count="1" selected="0">
            <x v="1"/>
          </reference>
        </references>
      </pivotArea>
    </chartFormat>
    <chartFormat chart="30" format="322">
      <pivotArea type="data" outline="0" fieldPosition="0">
        <references count="3">
          <reference field="4294967294" count="1" selected="0">
            <x v="0"/>
          </reference>
          <reference field="0" count="1" selected="0">
            <x v="22"/>
          </reference>
          <reference field="1" count="1" selected="0">
            <x v="1"/>
          </reference>
        </references>
      </pivotArea>
    </chartFormat>
    <chartFormat chart="30" format="323">
      <pivotArea type="data" outline="0" fieldPosition="0">
        <references count="3">
          <reference field="4294967294" count="1" selected="0">
            <x v="0"/>
          </reference>
          <reference field="0" count="1" selected="0">
            <x v="23"/>
          </reference>
          <reference field="1" count="1" selected="0">
            <x v="1"/>
          </reference>
        </references>
      </pivotArea>
    </chartFormat>
    <chartFormat chart="30" format="324">
      <pivotArea type="data" outline="0" fieldPosition="0">
        <references count="3">
          <reference field="4294967294" count="1" selected="0">
            <x v="0"/>
          </reference>
          <reference field="0" count="1" selected="0">
            <x v="24"/>
          </reference>
          <reference field="1" count="1" selected="0">
            <x v="1"/>
          </reference>
        </references>
      </pivotArea>
    </chartFormat>
    <chartFormat chart="30" format="325">
      <pivotArea type="data" outline="0" fieldPosition="0">
        <references count="3">
          <reference field="4294967294" count="1" selected="0">
            <x v="0"/>
          </reference>
          <reference field="0" count="1" selected="0">
            <x v="25"/>
          </reference>
          <reference field="1" count="1" selected="0">
            <x v="1"/>
          </reference>
        </references>
      </pivotArea>
    </chartFormat>
    <chartFormat chart="30" format="326">
      <pivotArea type="data" outline="0" fieldPosition="0">
        <references count="3">
          <reference field="4294967294" count="1" selected="0">
            <x v="0"/>
          </reference>
          <reference field="0" count="1" selected="0">
            <x v="26"/>
          </reference>
          <reference field="1" count="1" selected="0">
            <x v="1"/>
          </reference>
        </references>
      </pivotArea>
    </chartFormat>
    <chartFormat chart="30" format="327">
      <pivotArea type="data" outline="0" fieldPosition="0">
        <references count="3">
          <reference field="4294967294" count="1" selected="0">
            <x v="0"/>
          </reference>
          <reference field="0" count="1" selected="0">
            <x v="27"/>
          </reference>
          <reference field="1" count="1" selected="0">
            <x v="1"/>
          </reference>
        </references>
      </pivotArea>
    </chartFormat>
    <chartFormat chart="30" format="328">
      <pivotArea type="data" outline="0" fieldPosition="0">
        <references count="3">
          <reference field="4294967294" count="1" selected="0">
            <x v="0"/>
          </reference>
          <reference field="0" count="1" selected="0">
            <x v="28"/>
          </reference>
          <reference field="1" count="1" selected="0">
            <x v="1"/>
          </reference>
        </references>
      </pivotArea>
    </chartFormat>
    <chartFormat chart="30" format="329">
      <pivotArea type="data" outline="0" fieldPosition="0">
        <references count="3">
          <reference field="4294967294" count="1" selected="0">
            <x v="0"/>
          </reference>
          <reference field="0" count="1" selected="0">
            <x v="29"/>
          </reference>
          <reference field="1" count="1" selected="0">
            <x v="1"/>
          </reference>
        </references>
      </pivotArea>
    </chartFormat>
    <chartFormat chart="30" format="330">
      <pivotArea type="data" outline="0" fieldPosition="0">
        <references count="3">
          <reference field="4294967294" count="1" selected="0">
            <x v="0"/>
          </reference>
          <reference field="0" count="1" selected="0">
            <x v="30"/>
          </reference>
          <reference field="1" count="1" selected="0">
            <x v="1"/>
          </reference>
        </references>
      </pivotArea>
    </chartFormat>
    <chartFormat chart="30" format="331">
      <pivotArea type="data" outline="0" fieldPosition="0">
        <references count="3">
          <reference field="4294967294" count="1" selected="0">
            <x v="0"/>
          </reference>
          <reference field="0" count="1" selected="0">
            <x v="31"/>
          </reference>
          <reference field="1" count="1" selected="0">
            <x v="1"/>
          </reference>
        </references>
      </pivotArea>
    </chartFormat>
    <chartFormat chart="30" format="332">
      <pivotArea type="data" outline="0" fieldPosition="0">
        <references count="3">
          <reference field="4294967294" count="1" selected="0">
            <x v="0"/>
          </reference>
          <reference field="0" count="1" selected="0">
            <x v="32"/>
          </reference>
          <reference field="1" count="1" selected="0">
            <x v="1"/>
          </reference>
        </references>
      </pivotArea>
    </chartFormat>
    <chartFormat chart="30" format="333">
      <pivotArea type="data" outline="0" fieldPosition="0">
        <references count="3">
          <reference field="4294967294" count="1" selected="0">
            <x v="0"/>
          </reference>
          <reference field="0" count="1" selected="0">
            <x v="33"/>
          </reference>
          <reference field="1" count="1" selected="0">
            <x v="1"/>
          </reference>
        </references>
      </pivotArea>
    </chartFormat>
    <chartFormat chart="30" format="334">
      <pivotArea type="data" outline="0" fieldPosition="0">
        <references count="3">
          <reference field="4294967294" count="1" selected="0">
            <x v="0"/>
          </reference>
          <reference field="0" count="1" selected="0">
            <x v="34"/>
          </reference>
          <reference field="1" count="1" selected="0">
            <x v="1"/>
          </reference>
        </references>
      </pivotArea>
    </chartFormat>
    <chartFormat chart="30" format="335">
      <pivotArea type="data" outline="0" fieldPosition="0">
        <references count="3">
          <reference field="4294967294" count="1" selected="0">
            <x v="0"/>
          </reference>
          <reference field="0" count="1" selected="0">
            <x v="35"/>
          </reference>
          <reference field="1" count="1" selected="0">
            <x v="1"/>
          </reference>
        </references>
      </pivotArea>
    </chartFormat>
    <chartFormat chart="30" format="336">
      <pivotArea type="data" outline="0" fieldPosition="0">
        <references count="3">
          <reference field="4294967294" count="1" selected="0">
            <x v="0"/>
          </reference>
          <reference field="0" count="1" selected="0">
            <x v="0"/>
          </reference>
          <reference field="1" count="1" selected="0">
            <x v="2"/>
          </reference>
        </references>
      </pivotArea>
    </chartFormat>
    <chartFormat chart="30" format="337">
      <pivotArea type="data" outline="0" fieldPosition="0">
        <references count="3">
          <reference field="4294967294" count="1" selected="0">
            <x v="0"/>
          </reference>
          <reference field="0" count="1" selected="0">
            <x v="1"/>
          </reference>
          <reference field="1" count="1" selected="0">
            <x v="2"/>
          </reference>
        </references>
      </pivotArea>
    </chartFormat>
    <chartFormat chart="30" format="338">
      <pivotArea type="data" outline="0" fieldPosition="0">
        <references count="3">
          <reference field="4294967294" count="1" selected="0">
            <x v="0"/>
          </reference>
          <reference field="0" count="1" selected="0">
            <x v="2"/>
          </reference>
          <reference field="1" count="1" selected="0">
            <x v="2"/>
          </reference>
        </references>
      </pivotArea>
    </chartFormat>
    <chartFormat chart="30" format="339">
      <pivotArea type="data" outline="0" fieldPosition="0">
        <references count="3">
          <reference field="4294967294" count="1" selected="0">
            <x v="0"/>
          </reference>
          <reference field="0" count="1" selected="0">
            <x v="3"/>
          </reference>
          <reference field="1" count="1" selected="0">
            <x v="2"/>
          </reference>
        </references>
      </pivotArea>
    </chartFormat>
    <chartFormat chart="30" format="340">
      <pivotArea type="data" outline="0" fieldPosition="0">
        <references count="3">
          <reference field="4294967294" count="1" selected="0">
            <x v="0"/>
          </reference>
          <reference field="0" count="1" selected="0">
            <x v="4"/>
          </reference>
          <reference field="1" count="1" selected="0">
            <x v="2"/>
          </reference>
        </references>
      </pivotArea>
    </chartFormat>
    <chartFormat chart="30" format="341">
      <pivotArea type="data" outline="0" fieldPosition="0">
        <references count="3">
          <reference field="4294967294" count="1" selected="0">
            <x v="0"/>
          </reference>
          <reference field="0" count="1" selected="0">
            <x v="5"/>
          </reference>
          <reference field="1" count="1" selected="0">
            <x v="2"/>
          </reference>
        </references>
      </pivotArea>
    </chartFormat>
    <chartFormat chart="30" format="342">
      <pivotArea type="data" outline="0" fieldPosition="0">
        <references count="3">
          <reference field="4294967294" count="1" selected="0">
            <x v="0"/>
          </reference>
          <reference field="0" count="1" selected="0">
            <x v="6"/>
          </reference>
          <reference field="1" count="1" selected="0">
            <x v="2"/>
          </reference>
        </references>
      </pivotArea>
    </chartFormat>
    <chartFormat chart="30" format="343">
      <pivotArea type="data" outline="0" fieldPosition="0">
        <references count="3">
          <reference field="4294967294" count="1" selected="0">
            <x v="0"/>
          </reference>
          <reference field="0" count="1" selected="0">
            <x v="7"/>
          </reference>
          <reference field="1" count="1" selected="0">
            <x v="2"/>
          </reference>
        </references>
      </pivotArea>
    </chartFormat>
    <chartFormat chart="30" format="344">
      <pivotArea type="data" outline="0" fieldPosition="0">
        <references count="3">
          <reference field="4294967294" count="1" selected="0">
            <x v="0"/>
          </reference>
          <reference field="0" count="1" selected="0">
            <x v="8"/>
          </reference>
          <reference field="1" count="1" selected="0">
            <x v="2"/>
          </reference>
        </references>
      </pivotArea>
    </chartFormat>
    <chartFormat chart="30" format="345">
      <pivotArea type="data" outline="0" fieldPosition="0">
        <references count="3">
          <reference field="4294967294" count="1" selected="0">
            <x v="0"/>
          </reference>
          <reference field="0" count="1" selected="0">
            <x v="9"/>
          </reference>
          <reference field="1" count="1" selected="0">
            <x v="2"/>
          </reference>
        </references>
      </pivotArea>
    </chartFormat>
    <chartFormat chart="30" format="346">
      <pivotArea type="data" outline="0" fieldPosition="0">
        <references count="3">
          <reference field="4294967294" count="1" selected="0">
            <x v="0"/>
          </reference>
          <reference field="0" count="1" selected="0">
            <x v="10"/>
          </reference>
          <reference field="1" count="1" selected="0">
            <x v="2"/>
          </reference>
        </references>
      </pivotArea>
    </chartFormat>
    <chartFormat chart="30" format="347">
      <pivotArea type="data" outline="0" fieldPosition="0">
        <references count="3">
          <reference field="4294967294" count="1" selected="0">
            <x v="0"/>
          </reference>
          <reference field="0" count="1" selected="0">
            <x v="11"/>
          </reference>
          <reference field="1" count="1" selected="0">
            <x v="2"/>
          </reference>
        </references>
      </pivotArea>
    </chartFormat>
    <chartFormat chart="30" format="348">
      <pivotArea type="data" outline="0" fieldPosition="0">
        <references count="3">
          <reference field="4294967294" count="1" selected="0">
            <x v="0"/>
          </reference>
          <reference field="0" count="1" selected="0">
            <x v="12"/>
          </reference>
          <reference field="1" count="1" selected="0">
            <x v="2"/>
          </reference>
        </references>
      </pivotArea>
    </chartFormat>
    <chartFormat chart="30" format="349">
      <pivotArea type="data" outline="0" fieldPosition="0">
        <references count="3">
          <reference field="4294967294" count="1" selected="0">
            <x v="0"/>
          </reference>
          <reference field="0" count="1" selected="0">
            <x v="13"/>
          </reference>
          <reference field="1" count="1" selected="0">
            <x v="2"/>
          </reference>
        </references>
      </pivotArea>
    </chartFormat>
    <chartFormat chart="30" format="350">
      <pivotArea type="data" outline="0" fieldPosition="0">
        <references count="3">
          <reference field="4294967294" count="1" selected="0">
            <x v="0"/>
          </reference>
          <reference field="0" count="1" selected="0">
            <x v="14"/>
          </reference>
          <reference field="1" count="1" selected="0">
            <x v="2"/>
          </reference>
        </references>
      </pivotArea>
    </chartFormat>
    <chartFormat chart="30" format="351">
      <pivotArea type="data" outline="0" fieldPosition="0">
        <references count="3">
          <reference field="4294967294" count="1" selected="0">
            <x v="0"/>
          </reference>
          <reference field="0" count="1" selected="0">
            <x v="15"/>
          </reference>
          <reference field="1" count="1" selected="0">
            <x v="2"/>
          </reference>
        </references>
      </pivotArea>
    </chartFormat>
    <chartFormat chart="30" format="352">
      <pivotArea type="data" outline="0" fieldPosition="0">
        <references count="3">
          <reference field="4294967294" count="1" selected="0">
            <x v="0"/>
          </reference>
          <reference field="0" count="1" selected="0">
            <x v="16"/>
          </reference>
          <reference field="1" count="1" selected="0">
            <x v="2"/>
          </reference>
        </references>
      </pivotArea>
    </chartFormat>
    <chartFormat chart="30" format="353">
      <pivotArea type="data" outline="0" fieldPosition="0">
        <references count="3">
          <reference field="4294967294" count="1" selected="0">
            <x v="0"/>
          </reference>
          <reference field="0" count="1" selected="0">
            <x v="17"/>
          </reference>
          <reference field="1" count="1" selected="0">
            <x v="2"/>
          </reference>
        </references>
      </pivotArea>
    </chartFormat>
    <chartFormat chart="30" format="354">
      <pivotArea type="data" outline="0" fieldPosition="0">
        <references count="3">
          <reference field="4294967294" count="1" selected="0">
            <x v="0"/>
          </reference>
          <reference field="0" count="1" selected="0">
            <x v="18"/>
          </reference>
          <reference field="1" count="1" selected="0">
            <x v="2"/>
          </reference>
        </references>
      </pivotArea>
    </chartFormat>
    <chartFormat chart="30" format="355">
      <pivotArea type="data" outline="0" fieldPosition="0">
        <references count="3">
          <reference field="4294967294" count="1" selected="0">
            <x v="0"/>
          </reference>
          <reference field="0" count="1" selected="0">
            <x v="19"/>
          </reference>
          <reference field="1" count="1" selected="0">
            <x v="2"/>
          </reference>
        </references>
      </pivotArea>
    </chartFormat>
    <chartFormat chart="30" format="356">
      <pivotArea type="data" outline="0" fieldPosition="0">
        <references count="3">
          <reference field="4294967294" count="1" selected="0">
            <x v="0"/>
          </reference>
          <reference field="0" count="1" selected="0">
            <x v="20"/>
          </reference>
          <reference field="1" count="1" selected="0">
            <x v="2"/>
          </reference>
        </references>
      </pivotArea>
    </chartFormat>
    <chartFormat chart="30" format="357">
      <pivotArea type="data" outline="0" fieldPosition="0">
        <references count="3">
          <reference field="4294967294" count="1" selected="0">
            <x v="0"/>
          </reference>
          <reference field="0" count="1" selected="0">
            <x v="21"/>
          </reference>
          <reference field="1" count="1" selected="0">
            <x v="2"/>
          </reference>
        </references>
      </pivotArea>
    </chartFormat>
    <chartFormat chart="30" format="358">
      <pivotArea type="data" outline="0" fieldPosition="0">
        <references count="3">
          <reference field="4294967294" count="1" selected="0">
            <x v="0"/>
          </reference>
          <reference field="0" count="1" selected="0">
            <x v="22"/>
          </reference>
          <reference field="1" count="1" selected="0">
            <x v="2"/>
          </reference>
        </references>
      </pivotArea>
    </chartFormat>
    <chartFormat chart="30" format="359">
      <pivotArea type="data" outline="0" fieldPosition="0">
        <references count="3">
          <reference field="4294967294" count="1" selected="0">
            <x v="0"/>
          </reference>
          <reference field="0" count="1" selected="0">
            <x v="23"/>
          </reference>
          <reference field="1" count="1" selected="0">
            <x v="2"/>
          </reference>
        </references>
      </pivotArea>
    </chartFormat>
    <chartFormat chart="30" format="360">
      <pivotArea type="data" outline="0" fieldPosition="0">
        <references count="3">
          <reference field="4294967294" count="1" selected="0">
            <x v="0"/>
          </reference>
          <reference field="0" count="1" selected="0">
            <x v="24"/>
          </reference>
          <reference field="1" count="1" selected="0">
            <x v="2"/>
          </reference>
        </references>
      </pivotArea>
    </chartFormat>
    <chartFormat chart="30" format="361">
      <pivotArea type="data" outline="0" fieldPosition="0">
        <references count="3">
          <reference field="4294967294" count="1" selected="0">
            <x v="0"/>
          </reference>
          <reference field="0" count="1" selected="0">
            <x v="25"/>
          </reference>
          <reference field="1" count="1" selected="0">
            <x v="2"/>
          </reference>
        </references>
      </pivotArea>
    </chartFormat>
    <chartFormat chart="30" format="362">
      <pivotArea type="data" outline="0" fieldPosition="0">
        <references count="3">
          <reference field="4294967294" count="1" selected="0">
            <x v="0"/>
          </reference>
          <reference field="0" count="1" selected="0">
            <x v="26"/>
          </reference>
          <reference field="1" count="1" selected="0">
            <x v="2"/>
          </reference>
        </references>
      </pivotArea>
    </chartFormat>
    <chartFormat chart="30" format="363">
      <pivotArea type="data" outline="0" fieldPosition="0">
        <references count="3">
          <reference field="4294967294" count="1" selected="0">
            <x v="0"/>
          </reference>
          <reference field="0" count="1" selected="0">
            <x v="27"/>
          </reference>
          <reference field="1" count="1" selected="0">
            <x v="2"/>
          </reference>
        </references>
      </pivotArea>
    </chartFormat>
    <chartFormat chart="30" format="364">
      <pivotArea type="data" outline="0" fieldPosition="0">
        <references count="3">
          <reference field="4294967294" count="1" selected="0">
            <x v="0"/>
          </reference>
          <reference field="0" count="1" selected="0">
            <x v="28"/>
          </reference>
          <reference field="1" count="1" selected="0">
            <x v="2"/>
          </reference>
        </references>
      </pivotArea>
    </chartFormat>
    <chartFormat chart="30" format="365">
      <pivotArea type="data" outline="0" fieldPosition="0">
        <references count="3">
          <reference field="4294967294" count="1" selected="0">
            <x v="0"/>
          </reference>
          <reference field="0" count="1" selected="0">
            <x v="29"/>
          </reference>
          <reference field="1" count="1" selected="0">
            <x v="2"/>
          </reference>
        </references>
      </pivotArea>
    </chartFormat>
    <chartFormat chart="30" format="366">
      <pivotArea type="data" outline="0" fieldPosition="0">
        <references count="3">
          <reference field="4294967294" count="1" selected="0">
            <x v="0"/>
          </reference>
          <reference field="0" count="1" selected="0">
            <x v="30"/>
          </reference>
          <reference field="1" count="1" selected="0">
            <x v="2"/>
          </reference>
        </references>
      </pivotArea>
    </chartFormat>
    <chartFormat chart="30" format="367">
      <pivotArea type="data" outline="0" fieldPosition="0">
        <references count="3">
          <reference field="4294967294" count="1" selected="0">
            <x v="0"/>
          </reference>
          <reference field="0" count="1" selected="0">
            <x v="31"/>
          </reference>
          <reference field="1" count="1" selected="0">
            <x v="2"/>
          </reference>
        </references>
      </pivotArea>
    </chartFormat>
    <chartFormat chart="30" format="368">
      <pivotArea type="data" outline="0" fieldPosition="0">
        <references count="3">
          <reference field="4294967294" count="1" selected="0">
            <x v="0"/>
          </reference>
          <reference field="0" count="1" selected="0">
            <x v="32"/>
          </reference>
          <reference field="1" count="1" selected="0">
            <x v="2"/>
          </reference>
        </references>
      </pivotArea>
    </chartFormat>
    <chartFormat chart="30" format="369">
      <pivotArea type="data" outline="0" fieldPosition="0">
        <references count="3">
          <reference field="4294967294" count="1" selected="0">
            <x v="0"/>
          </reference>
          <reference field="0" count="1" selected="0">
            <x v="33"/>
          </reference>
          <reference field="1" count="1" selected="0">
            <x v="2"/>
          </reference>
        </references>
      </pivotArea>
    </chartFormat>
    <chartFormat chart="30" format="370">
      <pivotArea type="data" outline="0" fieldPosition="0">
        <references count="3">
          <reference field="4294967294" count="1" selected="0">
            <x v="0"/>
          </reference>
          <reference field="0" count="1" selected="0">
            <x v="34"/>
          </reference>
          <reference field="1" count="1" selected="0">
            <x v="2"/>
          </reference>
        </references>
      </pivotArea>
    </chartFormat>
    <chartFormat chart="30" format="371">
      <pivotArea type="data" outline="0" fieldPosition="0">
        <references count="3">
          <reference field="4294967294" count="1" selected="0">
            <x v="0"/>
          </reference>
          <reference field="0" count="1" selected="0">
            <x v="35"/>
          </reference>
          <reference field="1" count="1" selected="0">
            <x v="2"/>
          </reference>
        </references>
      </pivotArea>
    </chartFormat>
    <chartFormat chart="30" format="372">
      <pivotArea type="data" outline="0" fieldPosition="0">
        <references count="3">
          <reference field="4294967294" count="1" selected="0">
            <x v="1"/>
          </reference>
          <reference field="0" count="1" selected="0">
            <x v="0"/>
          </reference>
          <reference field="1" count="1" selected="0">
            <x v="1"/>
          </reference>
        </references>
      </pivotArea>
    </chartFormat>
    <chartFormat chart="30" format="373">
      <pivotArea type="data" outline="0" fieldPosition="0">
        <references count="3">
          <reference field="4294967294" count="1" selected="0">
            <x v="1"/>
          </reference>
          <reference field="0" count="1" selected="0">
            <x v="1"/>
          </reference>
          <reference field="1" count="1" selected="0">
            <x v="1"/>
          </reference>
        </references>
      </pivotArea>
    </chartFormat>
    <chartFormat chart="30" format="374">
      <pivotArea type="data" outline="0" fieldPosition="0">
        <references count="3">
          <reference field="4294967294" count="1" selected="0">
            <x v="1"/>
          </reference>
          <reference field="0" count="1" selected="0">
            <x v="2"/>
          </reference>
          <reference field="1" count="1" selected="0">
            <x v="1"/>
          </reference>
        </references>
      </pivotArea>
    </chartFormat>
    <chartFormat chart="30" format="375">
      <pivotArea type="data" outline="0" fieldPosition="0">
        <references count="3">
          <reference field="4294967294" count="1" selected="0">
            <x v="1"/>
          </reference>
          <reference field="0" count="1" selected="0">
            <x v="3"/>
          </reference>
          <reference field="1" count="1" selected="0">
            <x v="1"/>
          </reference>
        </references>
      </pivotArea>
    </chartFormat>
    <chartFormat chart="30" format="376">
      <pivotArea type="data" outline="0" fieldPosition="0">
        <references count="3">
          <reference field="4294967294" count="1" selected="0">
            <x v="1"/>
          </reference>
          <reference field="0" count="1" selected="0">
            <x v="4"/>
          </reference>
          <reference field="1" count="1" selected="0">
            <x v="1"/>
          </reference>
        </references>
      </pivotArea>
    </chartFormat>
    <chartFormat chart="30" format="377">
      <pivotArea type="data" outline="0" fieldPosition="0">
        <references count="3">
          <reference field="4294967294" count="1" selected="0">
            <x v="1"/>
          </reference>
          <reference field="0" count="1" selected="0">
            <x v="5"/>
          </reference>
          <reference field="1" count="1" selected="0">
            <x v="1"/>
          </reference>
        </references>
      </pivotArea>
    </chartFormat>
    <chartFormat chart="30" format="378">
      <pivotArea type="data" outline="0" fieldPosition="0">
        <references count="3">
          <reference field="4294967294" count="1" selected="0">
            <x v="1"/>
          </reference>
          <reference field="0" count="1" selected="0">
            <x v="6"/>
          </reference>
          <reference field="1" count="1" selected="0">
            <x v="1"/>
          </reference>
        </references>
      </pivotArea>
    </chartFormat>
    <chartFormat chart="30" format="379">
      <pivotArea type="data" outline="0" fieldPosition="0">
        <references count="3">
          <reference field="4294967294" count="1" selected="0">
            <x v="1"/>
          </reference>
          <reference field="0" count="1" selected="0">
            <x v="7"/>
          </reference>
          <reference field="1" count="1" selected="0">
            <x v="1"/>
          </reference>
        </references>
      </pivotArea>
    </chartFormat>
    <chartFormat chart="30" format="380">
      <pivotArea type="data" outline="0" fieldPosition="0">
        <references count="3">
          <reference field="4294967294" count="1" selected="0">
            <x v="1"/>
          </reference>
          <reference field="0" count="1" selected="0">
            <x v="8"/>
          </reference>
          <reference field="1" count="1" selected="0">
            <x v="1"/>
          </reference>
        </references>
      </pivotArea>
    </chartFormat>
    <chartFormat chart="30" format="381">
      <pivotArea type="data" outline="0" fieldPosition="0">
        <references count="3">
          <reference field="4294967294" count="1" selected="0">
            <x v="1"/>
          </reference>
          <reference field="0" count="1" selected="0">
            <x v="9"/>
          </reference>
          <reference field="1" count="1" selected="0">
            <x v="1"/>
          </reference>
        </references>
      </pivotArea>
    </chartFormat>
    <chartFormat chart="30" format="382">
      <pivotArea type="data" outline="0" fieldPosition="0">
        <references count="3">
          <reference field="4294967294" count="1" selected="0">
            <x v="1"/>
          </reference>
          <reference field="0" count="1" selected="0">
            <x v="10"/>
          </reference>
          <reference field="1" count="1" selected="0">
            <x v="1"/>
          </reference>
        </references>
      </pivotArea>
    </chartFormat>
    <chartFormat chart="30" format="383">
      <pivotArea type="data" outline="0" fieldPosition="0">
        <references count="3">
          <reference field="4294967294" count="1" selected="0">
            <x v="1"/>
          </reference>
          <reference field="0" count="1" selected="0">
            <x v="11"/>
          </reference>
          <reference field="1" count="1" selected="0">
            <x v="1"/>
          </reference>
        </references>
      </pivotArea>
    </chartFormat>
    <chartFormat chart="30" format="384">
      <pivotArea type="data" outline="0" fieldPosition="0">
        <references count="3">
          <reference field="4294967294" count="1" selected="0">
            <x v="1"/>
          </reference>
          <reference field="0" count="1" selected="0">
            <x v="12"/>
          </reference>
          <reference field="1" count="1" selected="0">
            <x v="1"/>
          </reference>
        </references>
      </pivotArea>
    </chartFormat>
    <chartFormat chart="30" format="385">
      <pivotArea type="data" outline="0" fieldPosition="0">
        <references count="3">
          <reference field="4294967294" count="1" selected="0">
            <x v="1"/>
          </reference>
          <reference field="0" count="1" selected="0">
            <x v="13"/>
          </reference>
          <reference field="1" count="1" selected="0">
            <x v="1"/>
          </reference>
        </references>
      </pivotArea>
    </chartFormat>
    <chartFormat chart="30" format="386">
      <pivotArea type="data" outline="0" fieldPosition="0">
        <references count="3">
          <reference field="4294967294" count="1" selected="0">
            <x v="1"/>
          </reference>
          <reference field="0" count="1" selected="0">
            <x v="14"/>
          </reference>
          <reference field="1" count="1" selected="0">
            <x v="1"/>
          </reference>
        </references>
      </pivotArea>
    </chartFormat>
    <chartFormat chart="30" format="387">
      <pivotArea type="data" outline="0" fieldPosition="0">
        <references count="3">
          <reference field="4294967294" count="1" selected="0">
            <x v="1"/>
          </reference>
          <reference field="0" count="1" selected="0">
            <x v="15"/>
          </reference>
          <reference field="1" count="1" selected="0">
            <x v="1"/>
          </reference>
        </references>
      </pivotArea>
    </chartFormat>
    <chartFormat chart="30" format="388">
      <pivotArea type="data" outline="0" fieldPosition="0">
        <references count="3">
          <reference field="4294967294" count="1" selected="0">
            <x v="1"/>
          </reference>
          <reference field="0" count="1" selected="0">
            <x v="16"/>
          </reference>
          <reference field="1" count="1" selected="0">
            <x v="1"/>
          </reference>
        </references>
      </pivotArea>
    </chartFormat>
    <chartFormat chart="30" format="389">
      <pivotArea type="data" outline="0" fieldPosition="0">
        <references count="3">
          <reference field="4294967294" count="1" selected="0">
            <x v="1"/>
          </reference>
          <reference field="0" count="1" selected="0">
            <x v="17"/>
          </reference>
          <reference field="1" count="1" selected="0">
            <x v="1"/>
          </reference>
        </references>
      </pivotArea>
    </chartFormat>
    <chartFormat chart="30" format="390">
      <pivotArea type="data" outline="0" fieldPosition="0">
        <references count="3">
          <reference field="4294967294" count="1" selected="0">
            <x v="1"/>
          </reference>
          <reference field="0" count="1" selected="0">
            <x v="18"/>
          </reference>
          <reference field="1" count="1" selected="0">
            <x v="1"/>
          </reference>
        </references>
      </pivotArea>
    </chartFormat>
    <chartFormat chart="30" format="391">
      <pivotArea type="data" outline="0" fieldPosition="0">
        <references count="3">
          <reference field="4294967294" count="1" selected="0">
            <x v="1"/>
          </reference>
          <reference field="0" count="1" selected="0">
            <x v="19"/>
          </reference>
          <reference field="1" count="1" selected="0">
            <x v="1"/>
          </reference>
        </references>
      </pivotArea>
    </chartFormat>
    <chartFormat chart="30" format="392">
      <pivotArea type="data" outline="0" fieldPosition="0">
        <references count="3">
          <reference field="4294967294" count="1" selected="0">
            <x v="1"/>
          </reference>
          <reference field="0" count="1" selected="0">
            <x v="20"/>
          </reference>
          <reference field="1" count="1" selected="0">
            <x v="1"/>
          </reference>
        </references>
      </pivotArea>
    </chartFormat>
    <chartFormat chart="30" format="393">
      <pivotArea type="data" outline="0" fieldPosition="0">
        <references count="3">
          <reference field="4294967294" count="1" selected="0">
            <x v="1"/>
          </reference>
          <reference field="0" count="1" selected="0">
            <x v="21"/>
          </reference>
          <reference field="1" count="1" selected="0">
            <x v="1"/>
          </reference>
        </references>
      </pivotArea>
    </chartFormat>
    <chartFormat chart="30" format="394">
      <pivotArea type="data" outline="0" fieldPosition="0">
        <references count="3">
          <reference field="4294967294" count="1" selected="0">
            <x v="1"/>
          </reference>
          <reference field="0" count="1" selected="0">
            <x v="22"/>
          </reference>
          <reference field="1" count="1" selected="0">
            <x v="1"/>
          </reference>
        </references>
      </pivotArea>
    </chartFormat>
    <chartFormat chart="30" format="395">
      <pivotArea type="data" outline="0" fieldPosition="0">
        <references count="3">
          <reference field="4294967294" count="1" selected="0">
            <x v="1"/>
          </reference>
          <reference field="0" count="1" selected="0">
            <x v="23"/>
          </reference>
          <reference field="1" count="1" selected="0">
            <x v="1"/>
          </reference>
        </references>
      </pivotArea>
    </chartFormat>
    <chartFormat chart="30" format="396">
      <pivotArea type="data" outline="0" fieldPosition="0">
        <references count="3">
          <reference field="4294967294" count="1" selected="0">
            <x v="1"/>
          </reference>
          <reference field="0" count="1" selected="0">
            <x v="24"/>
          </reference>
          <reference field="1" count="1" selected="0">
            <x v="1"/>
          </reference>
        </references>
      </pivotArea>
    </chartFormat>
    <chartFormat chart="30" format="397">
      <pivotArea type="data" outline="0" fieldPosition="0">
        <references count="3">
          <reference field="4294967294" count="1" selected="0">
            <x v="1"/>
          </reference>
          <reference field="0" count="1" selected="0">
            <x v="25"/>
          </reference>
          <reference field="1" count="1" selected="0">
            <x v="1"/>
          </reference>
        </references>
      </pivotArea>
    </chartFormat>
    <chartFormat chart="30" format="398">
      <pivotArea type="data" outline="0" fieldPosition="0">
        <references count="3">
          <reference field="4294967294" count="1" selected="0">
            <x v="1"/>
          </reference>
          <reference field="0" count="1" selected="0">
            <x v="26"/>
          </reference>
          <reference field="1" count="1" selected="0">
            <x v="1"/>
          </reference>
        </references>
      </pivotArea>
    </chartFormat>
    <chartFormat chart="30" format="399">
      <pivotArea type="data" outline="0" fieldPosition="0">
        <references count="3">
          <reference field="4294967294" count="1" selected="0">
            <x v="1"/>
          </reference>
          <reference field="0" count="1" selected="0">
            <x v="27"/>
          </reference>
          <reference field="1" count="1" selected="0">
            <x v="1"/>
          </reference>
        </references>
      </pivotArea>
    </chartFormat>
    <chartFormat chart="30" format="400">
      <pivotArea type="data" outline="0" fieldPosition="0">
        <references count="3">
          <reference field="4294967294" count="1" selected="0">
            <x v="1"/>
          </reference>
          <reference field="0" count="1" selected="0">
            <x v="28"/>
          </reference>
          <reference field="1" count="1" selected="0">
            <x v="1"/>
          </reference>
        </references>
      </pivotArea>
    </chartFormat>
    <chartFormat chart="30" format="401">
      <pivotArea type="data" outline="0" fieldPosition="0">
        <references count="3">
          <reference field="4294967294" count="1" selected="0">
            <x v="1"/>
          </reference>
          <reference field="0" count="1" selected="0">
            <x v="29"/>
          </reference>
          <reference field="1" count="1" selected="0">
            <x v="1"/>
          </reference>
        </references>
      </pivotArea>
    </chartFormat>
    <chartFormat chart="30" format="402">
      <pivotArea type="data" outline="0" fieldPosition="0">
        <references count="3">
          <reference field="4294967294" count="1" selected="0">
            <x v="1"/>
          </reference>
          <reference field="0" count="1" selected="0">
            <x v="30"/>
          </reference>
          <reference field="1" count="1" selected="0">
            <x v="1"/>
          </reference>
        </references>
      </pivotArea>
    </chartFormat>
    <chartFormat chart="30" format="403">
      <pivotArea type="data" outline="0" fieldPosition="0">
        <references count="3">
          <reference field="4294967294" count="1" selected="0">
            <x v="1"/>
          </reference>
          <reference field="0" count="1" selected="0">
            <x v="31"/>
          </reference>
          <reference field="1" count="1" selected="0">
            <x v="1"/>
          </reference>
        </references>
      </pivotArea>
    </chartFormat>
    <chartFormat chart="30" format="404">
      <pivotArea type="data" outline="0" fieldPosition="0">
        <references count="3">
          <reference field="4294967294" count="1" selected="0">
            <x v="1"/>
          </reference>
          <reference field="0" count="1" selected="0">
            <x v="32"/>
          </reference>
          <reference field="1" count="1" selected="0">
            <x v="1"/>
          </reference>
        </references>
      </pivotArea>
    </chartFormat>
    <chartFormat chart="30" format="405">
      <pivotArea type="data" outline="0" fieldPosition="0">
        <references count="3">
          <reference field="4294967294" count="1" selected="0">
            <x v="1"/>
          </reference>
          <reference field="0" count="1" selected="0">
            <x v="33"/>
          </reference>
          <reference field="1" count="1" selected="0">
            <x v="1"/>
          </reference>
        </references>
      </pivotArea>
    </chartFormat>
    <chartFormat chart="30" format="406">
      <pivotArea type="data" outline="0" fieldPosition="0">
        <references count="3">
          <reference field="4294967294" count="1" selected="0">
            <x v="1"/>
          </reference>
          <reference field="0" count="1" selected="0">
            <x v="34"/>
          </reference>
          <reference field="1" count="1" selected="0">
            <x v="1"/>
          </reference>
        </references>
      </pivotArea>
    </chartFormat>
    <chartFormat chart="30" format="407">
      <pivotArea type="data" outline="0" fieldPosition="0">
        <references count="3">
          <reference field="4294967294" count="1" selected="0">
            <x v="1"/>
          </reference>
          <reference field="0" count="1" selected="0">
            <x v="35"/>
          </reference>
          <reference field="1" count="1" selected="0">
            <x v="1"/>
          </reference>
        </references>
      </pivotArea>
    </chartFormat>
    <chartFormat chart="30" format="408">
      <pivotArea type="data" outline="0" fieldPosition="0">
        <references count="3">
          <reference field="4294967294" count="1" selected="0">
            <x v="1"/>
          </reference>
          <reference field="0" count="1" selected="0">
            <x v="0"/>
          </reference>
          <reference field="1" count="1" selected="0">
            <x v="2"/>
          </reference>
        </references>
      </pivotArea>
    </chartFormat>
    <chartFormat chart="30" format="409">
      <pivotArea type="data" outline="0" fieldPosition="0">
        <references count="3">
          <reference field="4294967294" count="1" selected="0">
            <x v="1"/>
          </reference>
          <reference field="0" count="1" selected="0">
            <x v="1"/>
          </reference>
          <reference field="1" count="1" selected="0">
            <x v="2"/>
          </reference>
        </references>
      </pivotArea>
    </chartFormat>
    <chartFormat chart="30" format="410">
      <pivotArea type="data" outline="0" fieldPosition="0">
        <references count="3">
          <reference field="4294967294" count="1" selected="0">
            <x v="1"/>
          </reference>
          <reference field="0" count="1" selected="0">
            <x v="2"/>
          </reference>
          <reference field="1" count="1" selected="0">
            <x v="2"/>
          </reference>
        </references>
      </pivotArea>
    </chartFormat>
    <chartFormat chart="30" format="411">
      <pivotArea type="data" outline="0" fieldPosition="0">
        <references count="3">
          <reference field="4294967294" count="1" selected="0">
            <x v="1"/>
          </reference>
          <reference field="0" count="1" selected="0">
            <x v="3"/>
          </reference>
          <reference field="1" count="1" selected="0">
            <x v="2"/>
          </reference>
        </references>
      </pivotArea>
    </chartFormat>
    <chartFormat chart="30" format="412">
      <pivotArea type="data" outline="0" fieldPosition="0">
        <references count="3">
          <reference field="4294967294" count="1" selected="0">
            <x v="1"/>
          </reference>
          <reference field="0" count="1" selected="0">
            <x v="4"/>
          </reference>
          <reference field="1" count="1" selected="0">
            <x v="2"/>
          </reference>
        </references>
      </pivotArea>
    </chartFormat>
    <chartFormat chart="30" format="413">
      <pivotArea type="data" outline="0" fieldPosition="0">
        <references count="3">
          <reference field="4294967294" count="1" selected="0">
            <x v="1"/>
          </reference>
          <reference field="0" count="1" selected="0">
            <x v="5"/>
          </reference>
          <reference field="1" count="1" selected="0">
            <x v="2"/>
          </reference>
        </references>
      </pivotArea>
    </chartFormat>
    <chartFormat chart="30" format="414">
      <pivotArea type="data" outline="0" fieldPosition="0">
        <references count="3">
          <reference field="4294967294" count="1" selected="0">
            <x v="1"/>
          </reference>
          <reference field="0" count="1" selected="0">
            <x v="6"/>
          </reference>
          <reference field="1" count="1" selected="0">
            <x v="2"/>
          </reference>
        </references>
      </pivotArea>
    </chartFormat>
    <chartFormat chart="30" format="415">
      <pivotArea type="data" outline="0" fieldPosition="0">
        <references count="3">
          <reference field="4294967294" count="1" selected="0">
            <x v="1"/>
          </reference>
          <reference field="0" count="1" selected="0">
            <x v="7"/>
          </reference>
          <reference field="1" count="1" selected="0">
            <x v="2"/>
          </reference>
        </references>
      </pivotArea>
    </chartFormat>
    <chartFormat chart="30" format="416">
      <pivotArea type="data" outline="0" fieldPosition="0">
        <references count="3">
          <reference field="4294967294" count="1" selected="0">
            <x v="1"/>
          </reference>
          <reference field="0" count="1" selected="0">
            <x v="8"/>
          </reference>
          <reference field="1" count="1" selected="0">
            <x v="2"/>
          </reference>
        </references>
      </pivotArea>
    </chartFormat>
    <chartFormat chart="30" format="417">
      <pivotArea type="data" outline="0" fieldPosition="0">
        <references count="3">
          <reference field="4294967294" count="1" selected="0">
            <x v="1"/>
          </reference>
          <reference field="0" count="1" selected="0">
            <x v="9"/>
          </reference>
          <reference field="1" count="1" selected="0">
            <x v="2"/>
          </reference>
        </references>
      </pivotArea>
    </chartFormat>
    <chartFormat chart="30" format="418">
      <pivotArea type="data" outline="0" fieldPosition="0">
        <references count="3">
          <reference field="4294967294" count="1" selected="0">
            <x v="1"/>
          </reference>
          <reference field="0" count="1" selected="0">
            <x v="10"/>
          </reference>
          <reference field="1" count="1" selected="0">
            <x v="2"/>
          </reference>
        </references>
      </pivotArea>
    </chartFormat>
    <chartFormat chart="30" format="419">
      <pivotArea type="data" outline="0" fieldPosition="0">
        <references count="3">
          <reference field="4294967294" count="1" selected="0">
            <x v="1"/>
          </reference>
          <reference field="0" count="1" selected="0">
            <x v="11"/>
          </reference>
          <reference field="1" count="1" selected="0">
            <x v="2"/>
          </reference>
        </references>
      </pivotArea>
    </chartFormat>
    <chartFormat chart="30" format="420">
      <pivotArea type="data" outline="0" fieldPosition="0">
        <references count="3">
          <reference field="4294967294" count="1" selected="0">
            <x v="1"/>
          </reference>
          <reference field="0" count="1" selected="0">
            <x v="12"/>
          </reference>
          <reference field="1" count="1" selected="0">
            <x v="2"/>
          </reference>
        </references>
      </pivotArea>
    </chartFormat>
    <chartFormat chart="30" format="421">
      <pivotArea type="data" outline="0" fieldPosition="0">
        <references count="3">
          <reference field="4294967294" count="1" selected="0">
            <x v="1"/>
          </reference>
          <reference field="0" count="1" selected="0">
            <x v="13"/>
          </reference>
          <reference field="1" count="1" selected="0">
            <x v="2"/>
          </reference>
        </references>
      </pivotArea>
    </chartFormat>
    <chartFormat chart="30" format="422">
      <pivotArea type="data" outline="0" fieldPosition="0">
        <references count="3">
          <reference field="4294967294" count="1" selected="0">
            <x v="1"/>
          </reference>
          <reference field="0" count="1" selected="0">
            <x v="14"/>
          </reference>
          <reference field="1" count="1" selected="0">
            <x v="2"/>
          </reference>
        </references>
      </pivotArea>
    </chartFormat>
    <chartFormat chart="30" format="423">
      <pivotArea type="data" outline="0" fieldPosition="0">
        <references count="3">
          <reference field="4294967294" count="1" selected="0">
            <x v="1"/>
          </reference>
          <reference field="0" count="1" selected="0">
            <x v="15"/>
          </reference>
          <reference field="1" count="1" selected="0">
            <x v="2"/>
          </reference>
        </references>
      </pivotArea>
    </chartFormat>
    <chartFormat chart="30" format="424">
      <pivotArea type="data" outline="0" fieldPosition="0">
        <references count="3">
          <reference field="4294967294" count="1" selected="0">
            <x v="1"/>
          </reference>
          <reference field="0" count="1" selected="0">
            <x v="16"/>
          </reference>
          <reference field="1" count="1" selected="0">
            <x v="2"/>
          </reference>
        </references>
      </pivotArea>
    </chartFormat>
    <chartFormat chart="30" format="425">
      <pivotArea type="data" outline="0" fieldPosition="0">
        <references count="3">
          <reference field="4294967294" count="1" selected="0">
            <x v="1"/>
          </reference>
          <reference field="0" count="1" selected="0">
            <x v="17"/>
          </reference>
          <reference field="1" count="1" selected="0">
            <x v="2"/>
          </reference>
        </references>
      </pivotArea>
    </chartFormat>
    <chartFormat chart="30" format="426">
      <pivotArea type="data" outline="0" fieldPosition="0">
        <references count="3">
          <reference field="4294967294" count="1" selected="0">
            <x v="1"/>
          </reference>
          <reference field="0" count="1" selected="0">
            <x v="18"/>
          </reference>
          <reference field="1" count="1" selected="0">
            <x v="2"/>
          </reference>
        </references>
      </pivotArea>
    </chartFormat>
    <chartFormat chart="30" format="427">
      <pivotArea type="data" outline="0" fieldPosition="0">
        <references count="3">
          <reference field="4294967294" count="1" selected="0">
            <x v="1"/>
          </reference>
          <reference field="0" count="1" selected="0">
            <x v="19"/>
          </reference>
          <reference field="1" count="1" selected="0">
            <x v="2"/>
          </reference>
        </references>
      </pivotArea>
    </chartFormat>
    <chartFormat chart="30" format="428">
      <pivotArea type="data" outline="0" fieldPosition="0">
        <references count="3">
          <reference field="4294967294" count="1" selected="0">
            <x v="1"/>
          </reference>
          <reference field="0" count="1" selected="0">
            <x v="20"/>
          </reference>
          <reference field="1" count="1" selected="0">
            <x v="2"/>
          </reference>
        </references>
      </pivotArea>
    </chartFormat>
    <chartFormat chart="30" format="429">
      <pivotArea type="data" outline="0" fieldPosition="0">
        <references count="3">
          <reference field="4294967294" count="1" selected="0">
            <x v="1"/>
          </reference>
          <reference field="0" count="1" selected="0">
            <x v="21"/>
          </reference>
          <reference field="1" count="1" selected="0">
            <x v="2"/>
          </reference>
        </references>
      </pivotArea>
    </chartFormat>
    <chartFormat chart="30" format="430">
      <pivotArea type="data" outline="0" fieldPosition="0">
        <references count="3">
          <reference field="4294967294" count="1" selected="0">
            <x v="1"/>
          </reference>
          <reference field="0" count="1" selected="0">
            <x v="22"/>
          </reference>
          <reference field="1" count="1" selected="0">
            <x v="2"/>
          </reference>
        </references>
      </pivotArea>
    </chartFormat>
    <chartFormat chart="30" format="431">
      <pivotArea type="data" outline="0" fieldPosition="0">
        <references count="3">
          <reference field="4294967294" count="1" selected="0">
            <x v="1"/>
          </reference>
          <reference field="0" count="1" selected="0">
            <x v="23"/>
          </reference>
          <reference field="1" count="1" selected="0">
            <x v="2"/>
          </reference>
        </references>
      </pivotArea>
    </chartFormat>
    <chartFormat chart="30" format="432">
      <pivotArea type="data" outline="0" fieldPosition="0">
        <references count="3">
          <reference field="4294967294" count="1" selected="0">
            <x v="1"/>
          </reference>
          <reference field="0" count="1" selected="0">
            <x v="24"/>
          </reference>
          <reference field="1" count="1" selected="0">
            <x v="2"/>
          </reference>
        </references>
      </pivotArea>
    </chartFormat>
    <chartFormat chart="30" format="433">
      <pivotArea type="data" outline="0" fieldPosition="0">
        <references count="3">
          <reference field="4294967294" count="1" selected="0">
            <x v="1"/>
          </reference>
          <reference field="0" count="1" selected="0">
            <x v="25"/>
          </reference>
          <reference field="1" count="1" selected="0">
            <x v="2"/>
          </reference>
        </references>
      </pivotArea>
    </chartFormat>
    <chartFormat chart="30" format="434">
      <pivotArea type="data" outline="0" fieldPosition="0">
        <references count="3">
          <reference field="4294967294" count="1" selected="0">
            <x v="1"/>
          </reference>
          <reference field="0" count="1" selected="0">
            <x v="26"/>
          </reference>
          <reference field="1" count="1" selected="0">
            <x v="2"/>
          </reference>
        </references>
      </pivotArea>
    </chartFormat>
    <chartFormat chart="30" format="435">
      <pivotArea type="data" outline="0" fieldPosition="0">
        <references count="3">
          <reference field="4294967294" count="1" selected="0">
            <x v="1"/>
          </reference>
          <reference field="0" count="1" selected="0">
            <x v="27"/>
          </reference>
          <reference field="1" count="1" selected="0">
            <x v="2"/>
          </reference>
        </references>
      </pivotArea>
    </chartFormat>
    <chartFormat chart="30" format="436">
      <pivotArea type="data" outline="0" fieldPosition="0">
        <references count="3">
          <reference field="4294967294" count="1" selected="0">
            <x v="1"/>
          </reference>
          <reference field="0" count="1" selected="0">
            <x v="28"/>
          </reference>
          <reference field="1" count="1" selected="0">
            <x v="2"/>
          </reference>
        </references>
      </pivotArea>
    </chartFormat>
    <chartFormat chart="30" format="437">
      <pivotArea type="data" outline="0" fieldPosition="0">
        <references count="3">
          <reference field="4294967294" count="1" selected="0">
            <x v="1"/>
          </reference>
          <reference field="0" count="1" selected="0">
            <x v="29"/>
          </reference>
          <reference field="1" count="1" selected="0">
            <x v="2"/>
          </reference>
        </references>
      </pivotArea>
    </chartFormat>
    <chartFormat chart="30" format="438">
      <pivotArea type="data" outline="0" fieldPosition="0">
        <references count="3">
          <reference field="4294967294" count="1" selected="0">
            <x v="1"/>
          </reference>
          <reference field="0" count="1" selected="0">
            <x v="30"/>
          </reference>
          <reference field="1" count="1" selected="0">
            <x v="2"/>
          </reference>
        </references>
      </pivotArea>
    </chartFormat>
    <chartFormat chart="30" format="439">
      <pivotArea type="data" outline="0" fieldPosition="0">
        <references count="3">
          <reference field="4294967294" count="1" selected="0">
            <x v="1"/>
          </reference>
          <reference field="0" count="1" selected="0">
            <x v="31"/>
          </reference>
          <reference field="1" count="1" selected="0">
            <x v="2"/>
          </reference>
        </references>
      </pivotArea>
    </chartFormat>
    <chartFormat chart="30" format="440">
      <pivotArea type="data" outline="0" fieldPosition="0">
        <references count="3">
          <reference field="4294967294" count="1" selected="0">
            <x v="1"/>
          </reference>
          <reference field="0" count="1" selected="0">
            <x v="32"/>
          </reference>
          <reference field="1" count="1" selected="0">
            <x v="2"/>
          </reference>
        </references>
      </pivotArea>
    </chartFormat>
    <chartFormat chart="30" format="441">
      <pivotArea type="data" outline="0" fieldPosition="0">
        <references count="3">
          <reference field="4294967294" count="1" selected="0">
            <x v="1"/>
          </reference>
          <reference field="0" count="1" selected="0">
            <x v="33"/>
          </reference>
          <reference field="1" count="1" selected="0">
            <x v="2"/>
          </reference>
        </references>
      </pivotArea>
    </chartFormat>
    <chartFormat chart="30" format="442">
      <pivotArea type="data" outline="0" fieldPosition="0">
        <references count="3">
          <reference field="4294967294" count="1" selected="0">
            <x v="1"/>
          </reference>
          <reference field="0" count="1" selected="0">
            <x v="34"/>
          </reference>
          <reference field="1" count="1" selected="0">
            <x v="2"/>
          </reference>
        </references>
      </pivotArea>
    </chartFormat>
    <chartFormat chart="30" format="443">
      <pivotArea type="data" outline="0" fieldPosition="0">
        <references count="3">
          <reference field="4294967294" count="1" selected="0">
            <x v="1"/>
          </reference>
          <reference field="0" count="1" selected="0">
            <x v="35"/>
          </reference>
          <reference field="1" count="1" selected="0">
            <x v="2"/>
          </reference>
        </references>
      </pivotArea>
    </chartFormat>
    <chartFormat chart="30" format="444">
      <pivotArea type="data" outline="0" fieldPosition="0">
        <references count="3">
          <reference field="4294967294" count="1" selected="0">
            <x v="2"/>
          </reference>
          <reference field="0" count="1" selected="0">
            <x v="0"/>
          </reference>
          <reference field="1" count="1" selected="0">
            <x v="1"/>
          </reference>
        </references>
      </pivotArea>
    </chartFormat>
    <chartFormat chart="30" format="445">
      <pivotArea type="data" outline="0" fieldPosition="0">
        <references count="3">
          <reference field="4294967294" count="1" selected="0">
            <x v="2"/>
          </reference>
          <reference field="0" count="1" selected="0">
            <x v="1"/>
          </reference>
          <reference field="1" count="1" selected="0">
            <x v="1"/>
          </reference>
        </references>
      </pivotArea>
    </chartFormat>
    <chartFormat chart="30" format="446">
      <pivotArea type="data" outline="0" fieldPosition="0">
        <references count="3">
          <reference field="4294967294" count="1" selected="0">
            <x v="2"/>
          </reference>
          <reference field="0" count="1" selected="0">
            <x v="2"/>
          </reference>
          <reference field="1" count="1" selected="0">
            <x v="1"/>
          </reference>
        </references>
      </pivotArea>
    </chartFormat>
    <chartFormat chart="30" format="447">
      <pivotArea type="data" outline="0" fieldPosition="0">
        <references count="3">
          <reference field="4294967294" count="1" selected="0">
            <x v="2"/>
          </reference>
          <reference field="0" count="1" selected="0">
            <x v="3"/>
          </reference>
          <reference field="1" count="1" selected="0">
            <x v="1"/>
          </reference>
        </references>
      </pivotArea>
    </chartFormat>
    <chartFormat chart="30" format="448">
      <pivotArea type="data" outline="0" fieldPosition="0">
        <references count="3">
          <reference field="4294967294" count="1" selected="0">
            <x v="2"/>
          </reference>
          <reference field="0" count="1" selected="0">
            <x v="4"/>
          </reference>
          <reference field="1" count="1" selected="0">
            <x v="1"/>
          </reference>
        </references>
      </pivotArea>
    </chartFormat>
    <chartFormat chart="30" format="449">
      <pivotArea type="data" outline="0" fieldPosition="0">
        <references count="3">
          <reference field="4294967294" count="1" selected="0">
            <x v="2"/>
          </reference>
          <reference field="0" count="1" selected="0">
            <x v="5"/>
          </reference>
          <reference field="1" count="1" selected="0">
            <x v="1"/>
          </reference>
        </references>
      </pivotArea>
    </chartFormat>
    <chartFormat chart="30" format="450">
      <pivotArea type="data" outline="0" fieldPosition="0">
        <references count="3">
          <reference field="4294967294" count="1" selected="0">
            <x v="2"/>
          </reference>
          <reference field="0" count="1" selected="0">
            <x v="6"/>
          </reference>
          <reference field="1" count="1" selected="0">
            <x v="1"/>
          </reference>
        </references>
      </pivotArea>
    </chartFormat>
    <chartFormat chart="30" format="451">
      <pivotArea type="data" outline="0" fieldPosition="0">
        <references count="3">
          <reference field="4294967294" count="1" selected="0">
            <x v="2"/>
          </reference>
          <reference field="0" count="1" selected="0">
            <x v="7"/>
          </reference>
          <reference field="1" count="1" selected="0">
            <x v="1"/>
          </reference>
        </references>
      </pivotArea>
    </chartFormat>
    <chartFormat chart="30" format="452">
      <pivotArea type="data" outline="0" fieldPosition="0">
        <references count="3">
          <reference field="4294967294" count="1" selected="0">
            <x v="2"/>
          </reference>
          <reference field="0" count="1" selected="0">
            <x v="8"/>
          </reference>
          <reference field="1" count="1" selected="0">
            <x v="1"/>
          </reference>
        </references>
      </pivotArea>
    </chartFormat>
    <chartFormat chart="30" format="453">
      <pivotArea type="data" outline="0" fieldPosition="0">
        <references count="3">
          <reference field="4294967294" count="1" selected="0">
            <x v="2"/>
          </reference>
          <reference field="0" count="1" selected="0">
            <x v="9"/>
          </reference>
          <reference field="1" count="1" selected="0">
            <x v="1"/>
          </reference>
        </references>
      </pivotArea>
    </chartFormat>
    <chartFormat chart="30" format="454">
      <pivotArea type="data" outline="0" fieldPosition="0">
        <references count="3">
          <reference field="4294967294" count="1" selected="0">
            <x v="2"/>
          </reference>
          <reference field="0" count="1" selected="0">
            <x v="10"/>
          </reference>
          <reference field="1" count="1" selected="0">
            <x v="1"/>
          </reference>
        </references>
      </pivotArea>
    </chartFormat>
    <chartFormat chart="30" format="455">
      <pivotArea type="data" outline="0" fieldPosition="0">
        <references count="3">
          <reference field="4294967294" count="1" selected="0">
            <x v="2"/>
          </reference>
          <reference field="0" count="1" selected="0">
            <x v="11"/>
          </reference>
          <reference field="1" count="1" selected="0">
            <x v="1"/>
          </reference>
        </references>
      </pivotArea>
    </chartFormat>
    <chartFormat chart="30" format="456">
      <pivotArea type="data" outline="0" fieldPosition="0">
        <references count="3">
          <reference field="4294967294" count="1" selected="0">
            <x v="2"/>
          </reference>
          <reference field="0" count="1" selected="0">
            <x v="12"/>
          </reference>
          <reference field="1" count="1" selected="0">
            <x v="1"/>
          </reference>
        </references>
      </pivotArea>
    </chartFormat>
    <chartFormat chart="30" format="457">
      <pivotArea type="data" outline="0" fieldPosition="0">
        <references count="3">
          <reference field="4294967294" count="1" selected="0">
            <x v="2"/>
          </reference>
          <reference field="0" count="1" selected="0">
            <x v="13"/>
          </reference>
          <reference field="1" count="1" selected="0">
            <x v="1"/>
          </reference>
        </references>
      </pivotArea>
    </chartFormat>
    <chartFormat chart="30" format="458">
      <pivotArea type="data" outline="0" fieldPosition="0">
        <references count="3">
          <reference field="4294967294" count="1" selected="0">
            <x v="2"/>
          </reference>
          <reference field="0" count="1" selected="0">
            <x v="14"/>
          </reference>
          <reference field="1" count="1" selected="0">
            <x v="1"/>
          </reference>
        </references>
      </pivotArea>
    </chartFormat>
    <chartFormat chart="30" format="459">
      <pivotArea type="data" outline="0" fieldPosition="0">
        <references count="3">
          <reference field="4294967294" count="1" selected="0">
            <x v="2"/>
          </reference>
          <reference field="0" count="1" selected="0">
            <x v="15"/>
          </reference>
          <reference field="1" count="1" selected="0">
            <x v="1"/>
          </reference>
        </references>
      </pivotArea>
    </chartFormat>
    <chartFormat chart="30" format="460">
      <pivotArea type="data" outline="0" fieldPosition="0">
        <references count="3">
          <reference field="4294967294" count="1" selected="0">
            <x v="2"/>
          </reference>
          <reference field="0" count="1" selected="0">
            <x v="16"/>
          </reference>
          <reference field="1" count="1" selected="0">
            <x v="1"/>
          </reference>
        </references>
      </pivotArea>
    </chartFormat>
    <chartFormat chart="30" format="461">
      <pivotArea type="data" outline="0" fieldPosition="0">
        <references count="3">
          <reference field="4294967294" count="1" selected="0">
            <x v="2"/>
          </reference>
          <reference field="0" count="1" selected="0">
            <x v="17"/>
          </reference>
          <reference field="1" count="1" selected="0">
            <x v="1"/>
          </reference>
        </references>
      </pivotArea>
    </chartFormat>
    <chartFormat chart="30" format="462">
      <pivotArea type="data" outline="0" fieldPosition="0">
        <references count="3">
          <reference field="4294967294" count="1" selected="0">
            <x v="2"/>
          </reference>
          <reference field="0" count="1" selected="0">
            <x v="18"/>
          </reference>
          <reference field="1" count="1" selected="0">
            <x v="1"/>
          </reference>
        </references>
      </pivotArea>
    </chartFormat>
    <chartFormat chart="30" format="463">
      <pivotArea type="data" outline="0" fieldPosition="0">
        <references count="3">
          <reference field="4294967294" count="1" selected="0">
            <x v="2"/>
          </reference>
          <reference field="0" count="1" selected="0">
            <x v="19"/>
          </reference>
          <reference field="1" count="1" selected="0">
            <x v="1"/>
          </reference>
        </references>
      </pivotArea>
    </chartFormat>
    <chartFormat chart="30" format="464">
      <pivotArea type="data" outline="0" fieldPosition="0">
        <references count="3">
          <reference field="4294967294" count="1" selected="0">
            <x v="2"/>
          </reference>
          <reference field="0" count="1" selected="0">
            <x v="20"/>
          </reference>
          <reference field="1" count="1" selected="0">
            <x v="1"/>
          </reference>
        </references>
      </pivotArea>
    </chartFormat>
    <chartFormat chart="30" format="465">
      <pivotArea type="data" outline="0" fieldPosition="0">
        <references count="3">
          <reference field="4294967294" count="1" selected="0">
            <x v="2"/>
          </reference>
          <reference field="0" count="1" selected="0">
            <x v="21"/>
          </reference>
          <reference field="1" count="1" selected="0">
            <x v="1"/>
          </reference>
        </references>
      </pivotArea>
    </chartFormat>
    <chartFormat chart="30" format="466">
      <pivotArea type="data" outline="0" fieldPosition="0">
        <references count="3">
          <reference field="4294967294" count="1" selected="0">
            <x v="2"/>
          </reference>
          <reference field="0" count="1" selected="0">
            <x v="22"/>
          </reference>
          <reference field="1" count="1" selected="0">
            <x v="1"/>
          </reference>
        </references>
      </pivotArea>
    </chartFormat>
    <chartFormat chart="30" format="467">
      <pivotArea type="data" outline="0" fieldPosition="0">
        <references count="3">
          <reference field="4294967294" count="1" selected="0">
            <x v="2"/>
          </reference>
          <reference field="0" count="1" selected="0">
            <x v="23"/>
          </reference>
          <reference field="1" count="1" selected="0">
            <x v="1"/>
          </reference>
        </references>
      </pivotArea>
    </chartFormat>
    <chartFormat chart="30" format="468">
      <pivotArea type="data" outline="0" fieldPosition="0">
        <references count="3">
          <reference field="4294967294" count="1" selected="0">
            <x v="2"/>
          </reference>
          <reference field="0" count="1" selected="0">
            <x v="24"/>
          </reference>
          <reference field="1" count="1" selected="0">
            <x v="1"/>
          </reference>
        </references>
      </pivotArea>
    </chartFormat>
    <chartFormat chart="30" format="469">
      <pivotArea type="data" outline="0" fieldPosition="0">
        <references count="3">
          <reference field="4294967294" count="1" selected="0">
            <x v="2"/>
          </reference>
          <reference field="0" count="1" selected="0">
            <x v="25"/>
          </reference>
          <reference field="1" count="1" selected="0">
            <x v="1"/>
          </reference>
        </references>
      </pivotArea>
    </chartFormat>
    <chartFormat chart="30" format="470">
      <pivotArea type="data" outline="0" fieldPosition="0">
        <references count="3">
          <reference field="4294967294" count="1" selected="0">
            <x v="2"/>
          </reference>
          <reference field="0" count="1" selected="0">
            <x v="26"/>
          </reference>
          <reference field="1" count="1" selected="0">
            <x v="1"/>
          </reference>
        </references>
      </pivotArea>
    </chartFormat>
    <chartFormat chart="30" format="471">
      <pivotArea type="data" outline="0" fieldPosition="0">
        <references count="3">
          <reference field="4294967294" count="1" selected="0">
            <x v="2"/>
          </reference>
          <reference field="0" count="1" selected="0">
            <x v="27"/>
          </reference>
          <reference field="1" count="1" selected="0">
            <x v="1"/>
          </reference>
        </references>
      </pivotArea>
    </chartFormat>
    <chartFormat chart="30" format="472">
      <pivotArea type="data" outline="0" fieldPosition="0">
        <references count="3">
          <reference field="4294967294" count="1" selected="0">
            <x v="2"/>
          </reference>
          <reference field="0" count="1" selected="0">
            <x v="28"/>
          </reference>
          <reference field="1" count="1" selected="0">
            <x v="1"/>
          </reference>
        </references>
      </pivotArea>
    </chartFormat>
    <chartFormat chart="30" format="473">
      <pivotArea type="data" outline="0" fieldPosition="0">
        <references count="3">
          <reference field="4294967294" count="1" selected="0">
            <x v="2"/>
          </reference>
          <reference field="0" count="1" selected="0">
            <x v="29"/>
          </reference>
          <reference field="1" count="1" selected="0">
            <x v="1"/>
          </reference>
        </references>
      </pivotArea>
    </chartFormat>
    <chartFormat chart="30" format="474">
      <pivotArea type="data" outline="0" fieldPosition="0">
        <references count="3">
          <reference field="4294967294" count="1" selected="0">
            <x v="2"/>
          </reference>
          <reference field="0" count="1" selected="0">
            <x v="30"/>
          </reference>
          <reference field="1" count="1" selected="0">
            <x v="1"/>
          </reference>
        </references>
      </pivotArea>
    </chartFormat>
    <chartFormat chart="30" format="475">
      <pivotArea type="data" outline="0" fieldPosition="0">
        <references count="3">
          <reference field="4294967294" count="1" selected="0">
            <x v="2"/>
          </reference>
          <reference field="0" count="1" selected="0">
            <x v="31"/>
          </reference>
          <reference field="1" count="1" selected="0">
            <x v="1"/>
          </reference>
        </references>
      </pivotArea>
    </chartFormat>
    <chartFormat chart="30" format="476">
      <pivotArea type="data" outline="0" fieldPosition="0">
        <references count="3">
          <reference field="4294967294" count="1" selected="0">
            <x v="2"/>
          </reference>
          <reference field="0" count="1" selected="0">
            <x v="32"/>
          </reference>
          <reference field="1" count="1" selected="0">
            <x v="1"/>
          </reference>
        </references>
      </pivotArea>
    </chartFormat>
    <chartFormat chart="30" format="477">
      <pivotArea type="data" outline="0" fieldPosition="0">
        <references count="3">
          <reference field="4294967294" count="1" selected="0">
            <x v="2"/>
          </reference>
          <reference field="0" count="1" selected="0">
            <x v="33"/>
          </reference>
          <reference field="1" count="1" selected="0">
            <x v="1"/>
          </reference>
        </references>
      </pivotArea>
    </chartFormat>
    <chartFormat chart="30" format="478">
      <pivotArea type="data" outline="0" fieldPosition="0">
        <references count="3">
          <reference field="4294967294" count="1" selected="0">
            <x v="2"/>
          </reference>
          <reference field="0" count="1" selected="0">
            <x v="34"/>
          </reference>
          <reference field="1" count="1" selected="0">
            <x v="1"/>
          </reference>
        </references>
      </pivotArea>
    </chartFormat>
    <chartFormat chart="30" format="479">
      <pivotArea type="data" outline="0" fieldPosition="0">
        <references count="3">
          <reference field="4294967294" count="1" selected="0">
            <x v="2"/>
          </reference>
          <reference field="0" count="1" selected="0">
            <x v="35"/>
          </reference>
          <reference field="1" count="1" selected="0">
            <x v="1"/>
          </reference>
        </references>
      </pivotArea>
    </chartFormat>
    <chartFormat chart="30" format="480">
      <pivotArea type="data" outline="0" fieldPosition="0">
        <references count="3">
          <reference field="4294967294" count="1" selected="0">
            <x v="2"/>
          </reference>
          <reference field="0" count="1" selected="0">
            <x v="0"/>
          </reference>
          <reference field="1" count="1" selected="0">
            <x v="2"/>
          </reference>
        </references>
      </pivotArea>
    </chartFormat>
    <chartFormat chart="30" format="481">
      <pivotArea type="data" outline="0" fieldPosition="0">
        <references count="3">
          <reference field="4294967294" count="1" selected="0">
            <x v="2"/>
          </reference>
          <reference field="0" count="1" selected="0">
            <x v="1"/>
          </reference>
          <reference field="1" count="1" selected="0">
            <x v="2"/>
          </reference>
        </references>
      </pivotArea>
    </chartFormat>
    <chartFormat chart="30" format="482">
      <pivotArea type="data" outline="0" fieldPosition="0">
        <references count="3">
          <reference field="4294967294" count="1" selected="0">
            <x v="2"/>
          </reference>
          <reference field="0" count="1" selected="0">
            <x v="2"/>
          </reference>
          <reference field="1" count="1" selected="0">
            <x v="2"/>
          </reference>
        </references>
      </pivotArea>
    </chartFormat>
    <chartFormat chart="30" format="483">
      <pivotArea type="data" outline="0" fieldPosition="0">
        <references count="3">
          <reference field="4294967294" count="1" selected="0">
            <x v="2"/>
          </reference>
          <reference field="0" count="1" selected="0">
            <x v="3"/>
          </reference>
          <reference field="1" count="1" selected="0">
            <x v="2"/>
          </reference>
        </references>
      </pivotArea>
    </chartFormat>
    <chartFormat chart="30" format="484">
      <pivotArea type="data" outline="0" fieldPosition="0">
        <references count="3">
          <reference field="4294967294" count="1" selected="0">
            <x v="2"/>
          </reference>
          <reference field="0" count="1" selected="0">
            <x v="4"/>
          </reference>
          <reference field="1" count="1" selected="0">
            <x v="2"/>
          </reference>
        </references>
      </pivotArea>
    </chartFormat>
    <chartFormat chart="30" format="485">
      <pivotArea type="data" outline="0" fieldPosition="0">
        <references count="3">
          <reference field="4294967294" count="1" selected="0">
            <x v="2"/>
          </reference>
          <reference field="0" count="1" selected="0">
            <x v="5"/>
          </reference>
          <reference field="1" count="1" selected="0">
            <x v="2"/>
          </reference>
        </references>
      </pivotArea>
    </chartFormat>
    <chartFormat chart="30" format="486">
      <pivotArea type="data" outline="0" fieldPosition="0">
        <references count="3">
          <reference field="4294967294" count="1" selected="0">
            <x v="2"/>
          </reference>
          <reference field="0" count="1" selected="0">
            <x v="6"/>
          </reference>
          <reference field="1" count="1" selected="0">
            <x v="2"/>
          </reference>
        </references>
      </pivotArea>
    </chartFormat>
    <chartFormat chart="30" format="487">
      <pivotArea type="data" outline="0" fieldPosition="0">
        <references count="3">
          <reference field="4294967294" count="1" selected="0">
            <x v="2"/>
          </reference>
          <reference field="0" count="1" selected="0">
            <x v="7"/>
          </reference>
          <reference field="1" count="1" selected="0">
            <x v="2"/>
          </reference>
        </references>
      </pivotArea>
    </chartFormat>
    <chartFormat chart="30" format="488">
      <pivotArea type="data" outline="0" fieldPosition="0">
        <references count="3">
          <reference field="4294967294" count="1" selected="0">
            <x v="2"/>
          </reference>
          <reference field="0" count="1" selected="0">
            <x v="8"/>
          </reference>
          <reference field="1" count="1" selected="0">
            <x v="2"/>
          </reference>
        </references>
      </pivotArea>
    </chartFormat>
    <chartFormat chart="30" format="489">
      <pivotArea type="data" outline="0" fieldPosition="0">
        <references count="3">
          <reference field="4294967294" count="1" selected="0">
            <x v="2"/>
          </reference>
          <reference field="0" count="1" selected="0">
            <x v="9"/>
          </reference>
          <reference field="1" count="1" selected="0">
            <x v="2"/>
          </reference>
        </references>
      </pivotArea>
    </chartFormat>
    <chartFormat chart="30" format="490">
      <pivotArea type="data" outline="0" fieldPosition="0">
        <references count="3">
          <reference field="4294967294" count="1" selected="0">
            <x v="2"/>
          </reference>
          <reference field="0" count="1" selected="0">
            <x v="10"/>
          </reference>
          <reference field="1" count="1" selected="0">
            <x v="2"/>
          </reference>
        </references>
      </pivotArea>
    </chartFormat>
    <chartFormat chart="30" format="491">
      <pivotArea type="data" outline="0" fieldPosition="0">
        <references count="3">
          <reference field="4294967294" count="1" selected="0">
            <x v="2"/>
          </reference>
          <reference field="0" count="1" selected="0">
            <x v="11"/>
          </reference>
          <reference field="1" count="1" selected="0">
            <x v="2"/>
          </reference>
        </references>
      </pivotArea>
    </chartFormat>
    <chartFormat chart="30" format="492">
      <pivotArea type="data" outline="0" fieldPosition="0">
        <references count="3">
          <reference field="4294967294" count="1" selected="0">
            <x v="2"/>
          </reference>
          <reference field="0" count="1" selected="0">
            <x v="12"/>
          </reference>
          <reference field="1" count="1" selected="0">
            <x v="2"/>
          </reference>
        </references>
      </pivotArea>
    </chartFormat>
    <chartFormat chart="30" format="493">
      <pivotArea type="data" outline="0" fieldPosition="0">
        <references count="3">
          <reference field="4294967294" count="1" selected="0">
            <x v="2"/>
          </reference>
          <reference field="0" count="1" selected="0">
            <x v="13"/>
          </reference>
          <reference field="1" count="1" selected="0">
            <x v="2"/>
          </reference>
        </references>
      </pivotArea>
    </chartFormat>
    <chartFormat chart="30" format="494">
      <pivotArea type="data" outline="0" fieldPosition="0">
        <references count="3">
          <reference field="4294967294" count="1" selected="0">
            <x v="2"/>
          </reference>
          <reference field="0" count="1" selected="0">
            <x v="14"/>
          </reference>
          <reference field="1" count="1" selected="0">
            <x v="2"/>
          </reference>
        </references>
      </pivotArea>
    </chartFormat>
    <chartFormat chart="30" format="495">
      <pivotArea type="data" outline="0" fieldPosition="0">
        <references count="3">
          <reference field="4294967294" count="1" selected="0">
            <x v="2"/>
          </reference>
          <reference field="0" count="1" selected="0">
            <x v="15"/>
          </reference>
          <reference field="1" count="1" selected="0">
            <x v="2"/>
          </reference>
        </references>
      </pivotArea>
    </chartFormat>
    <chartFormat chart="30" format="496">
      <pivotArea type="data" outline="0" fieldPosition="0">
        <references count="3">
          <reference field="4294967294" count="1" selected="0">
            <x v="2"/>
          </reference>
          <reference field="0" count="1" selected="0">
            <x v="16"/>
          </reference>
          <reference field="1" count="1" selected="0">
            <x v="2"/>
          </reference>
        </references>
      </pivotArea>
    </chartFormat>
    <chartFormat chart="30" format="497">
      <pivotArea type="data" outline="0" fieldPosition="0">
        <references count="3">
          <reference field="4294967294" count="1" selected="0">
            <x v="2"/>
          </reference>
          <reference field="0" count="1" selected="0">
            <x v="17"/>
          </reference>
          <reference field="1" count="1" selected="0">
            <x v="2"/>
          </reference>
        </references>
      </pivotArea>
    </chartFormat>
    <chartFormat chart="30" format="498">
      <pivotArea type="data" outline="0" fieldPosition="0">
        <references count="3">
          <reference field="4294967294" count="1" selected="0">
            <x v="2"/>
          </reference>
          <reference field="0" count="1" selected="0">
            <x v="18"/>
          </reference>
          <reference field="1" count="1" selected="0">
            <x v="2"/>
          </reference>
        </references>
      </pivotArea>
    </chartFormat>
    <chartFormat chart="30" format="499">
      <pivotArea type="data" outline="0" fieldPosition="0">
        <references count="3">
          <reference field="4294967294" count="1" selected="0">
            <x v="2"/>
          </reference>
          <reference field="0" count="1" selected="0">
            <x v="19"/>
          </reference>
          <reference field="1" count="1" selected="0">
            <x v="2"/>
          </reference>
        </references>
      </pivotArea>
    </chartFormat>
    <chartFormat chart="30" format="500">
      <pivotArea type="data" outline="0" fieldPosition="0">
        <references count="3">
          <reference field="4294967294" count="1" selected="0">
            <x v="2"/>
          </reference>
          <reference field="0" count="1" selected="0">
            <x v="20"/>
          </reference>
          <reference field="1" count="1" selected="0">
            <x v="2"/>
          </reference>
        </references>
      </pivotArea>
    </chartFormat>
    <chartFormat chart="30" format="501">
      <pivotArea type="data" outline="0" fieldPosition="0">
        <references count="3">
          <reference field="4294967294" count="1" selected="0">
            <x v="2"/>
          </reference>
          <reference field="0" count="1" selected="0">
            <x v="21"/>
          </reference>
          <reference field="1" count="1" selected="0">
            <x v="2"/>
          </reference>
        </references>
      </pivotArea>
    </chartFormat>
    <chartFormat chart="30" format="502">
      <pivotArea type="data" outline="0" fieldPosition="0">
        <references count="3">
          <reference field="4294967294" count="1" selected="0">
            <x v="2"/>
          </reference>
          <reference field="0" count="1" selected="0">
            <x v="22"/>
          </reference>
          <reference field="1" count="1" selected="0">
            <x v="2"/>
          </reference>
        </references>
      </pivotArea>
    </chartFormat>
    <chartFormat chart="30" format="503">
      <pivotArea type="data" outline="0" fieldPosition="0">
        <references count="3">
          <reference field="4294967294" count="1" selected="0">
            <x v="2"/>
          </reference>
          <reference field="0" count="1" selected="0">
            <x v="23"/>
          </reference>
          <reference field="1" count="1" selected="0">
            <x v="2"/>
          </reference>
        </references>
      </pivotArea>
    </chartFormat>
    <chartFormat chart="30" format="504">
      <pivotArea type="data" outline="0" fieldPosition="0">
        <references count="3">
          <reference field="4294967294" count="1" selected="0">
            <x v="2"/>
          </reference>
          <reference field="0" count="1" selected="0">
            <x v="24"/>
          </reference>
          <reference field="1" count="1" selected="0">
            <x v="2"/>
          </reference>
        </references>
      </pivotArea>
    </chartFormat>
    <chartFormat chart="30" format="505">
      <pivotArea type="data" outline="0" fieldPosition="0">
        <references count="3">
          <reference field="4294967294" count="1" selected="0">
            <x v="2"/>
          </reference>
          <reference field="0" count="1" selected="0">
            <x v="25"/>
          </reference>
          <reference field="1" count="1" selected="0">
            <x v="2"/>
          </reference>
        </references>
      </pivotArea>
    </chartFormat>
    <chartFormat chart="30" format="506">
      <pivotArea type="data" outline="0" fieldPosition="0">
        <references count="3">
          <reference field="4294967294" count="1" selected="0">
            <x v="2"/>
          </reference>
          <reference field="0" count="1" selected="0">
            <x v="26"/>
          </reference>
          <reference field="1" count="1" selected="0">
            <x v="2"/>
          </reference>
        </references>
      </pivotArea>
    </chartFormat>
    <chartFormat chart="30" format="507">
      <pivotArea type="data" outline="0" fieldPosition="0">
        <references count="3">
          <reference field="4294967294" count="1" selected="0">
            <x v="2"/>
          </reference>
          <reference field="0" count="1" selected="0">
            <x v="27"/>
          </reference>
          <reference field="1" count="1" selected="0">
            <x v="2"/>
          </reference>
        </references>
      </pivotArea>
    </chartFormat>
    <chartFormat chart="30" format="508">
      <pivotArea type="data" outline="0" fieldPosition="0">
        <references count="3">
          <reference field="4294967294" count="1" selected="0">
            <x v="2"/>
          </reference>
          <reference field="0" count="1" selected="0">
            <x v="28"/>
          </reference>
          <reference field="1" count="1" selected="0">
            <x v="2"/>
          </reference>
        </references>
      </pivotArea>
    </chartFormat>
    <chartFormat chart="30" format="509">
      <pivotArea type="data" outline="0" fieldPosition="0">
        <references count="3">
          <reference field="4294967294" count="1" selected="0">
            <x v="2"/>
          </reference>
          <reference field="0" count="1" selected="0">
            <x v="29"/>
          </reference>
          <reference field="1" count="1" selected="0">
            <x v="2"/>
          </reference>
        </references>
      </pivotArea>
    </chartFormat>
    <chartFormat chart="30" format="510">
      <pivotArea type="data" outline="0" fieldPosition="0">
        <references count="3">
          <reference field="4294967294" count="1" selected="0">
            <x v="2"/>
          </reference>
          <reference field="0" count="1" selected="0">
            <x v="30"/>
          </reference>
          <reference field="1" count="1" selected="0">
            <x v="2"/>
          </reference>
        </references>
      </pivotArea>
    </chartFormat>
    <chartFormat chart="30" format="511">
      <pivotArea type="data" outline="0" fieldPosition="0">
        <references count="3">
          <reference field="4294967294" count="1" selected="0">
            <x v="2"/>
          </reference>
          <reference field="0" count="1" selected="0">
            <x v="31"/>
          </reference>
          <reference field="1" count="1" selected="0">
            <x v="2"/>
          </reference>
        </references>
      </pivotArea>
    </chartFormat>
    <chartFormat chart="30" format="512">
      <pivotArea type="data" outline="0" fieldPosition="0">
        <references count="3">
          <reference field="4294967294" count="1" selected="0">
            <x v="2"/>
          </reference>
          <reference field="0" count="1" selected="0">
            <x v="32"/>
          </reference>
          <reference field="1" count="1" selected="0">
            <x v="2"/>
          </reference>
        </references>
      </pivotArea>
    </chartFormat>
    <chartFormat chart="30" format="513">
      <pivotArea type="data" outline="0" fieldPosition="0">
        <references count="3">
          <reference field="4294967294" count="1" selected="0">
            <x v="2"/>
          </reference>
          <reference field="0" count="1" selected="0">
            <x v="33"/>
          </reference>
          <reference field="1" count="1" selected="0">
            <x v="2"/>
          </reference>
        </references>
      </pivotArea>
    </chartFormat>
    <chartFormat chart="30" format="514">
      <pivotArea type="data" outline="0" fieldPosition="0">
        <references count="3">
          <reference field="4294967294" count="1" selected="0">
            <x v="2"/>
          </reference>
          <reference field="0" count="1" selected="0">
            <x v="34"/>
          </reference>
          <reference field="1" count="1" selected="0">
            <x v="2"/>
          </reference>
        </references>
      </pivotArea>
    </chartFormat>
    <chartFormat chart="30" format="515">
      <pivotArea type="data" outline="0" fieldPosition="0">
        <references count="3">
          <reference field="4294967294" count="1" selected="0">
            <x v="2"/>
          </reference>
          <reference field="0" count="1" selected="0">
            <x v="35"/>
          </reference>
          <reference field="1" count="1" selected="0">
            <x v="2"/>
          </reference>
        </references>
      </pivotArea>
    </chartFormat>
    <chartFormat chart="30" format="516">
      <pivotArea type="data" outline="0" fieldPosition="0">
        <references count="3">
          <reference field="4294967294" count="1" selected="0">
            <x v="3"/>
          </reference>
          <reference field="0" count="1" selected="0">
            <x v="0"/>
          </reference>
          <reference field="1" count="1" selected="0">
            <x v="1"/>
          </reference>
        </references>
      </pivotArea>
    </chartFormat>
    <chartFormat chart="30" format="517">
      <pivotArea type="data" outline="0" fieldPosition="0">
        <references count="3">
          <reference field="4294967294" count="1" selected="0">
            <x v="3"/>
          </reference>
          <reference field="0" count="1" selected="0">
            <x v="1"/>
          </reference>
          <reference field="1" count="1" selected="0">
            <x v="1"/>
          </reference>
        </references>
      </pivotArea>
    </chartFormat>
    <chartFormat chart="30" format="518">
      <pivotArea type="data" outline="0" fieldPosition="0">
        <references count="3">
          <reference field="4294967294" count="1" selected="0">
            <x v="3"/>
          </reference>
          <reference field="0" count="1" selected="0">
            <x v="2"/>
          </reference>
          <reference field="1" count="1" selected="0">
            <x v="1"/>
          </reference>
        </references>
      </pivotArea>
    </chartFormat>
    <chartFormat chart="30" format="519">
      <pivotArea type="data" outline="0" fieldPosition="0">
        <references count="3">
          <reference field="4294967294" count="1" selected="0">
            <x v="3"/>
          </reference>
          <reference field="0" count="1" selected="0">
            <x v="3"/>
          </reference>
          <reference field="1" count="1" selected="0">
            <x v="1"/>
          </reference>
        </references>
      </pivotArea>
    </chartFormat>
    <chartFormat chart="30" format="520">
      <pivotArea type="data" outline="0" fieldPosition="0">
        <references count="3">
          <reference field="4294967294" count="1" selected="0">
            <x v="3"/>
          </reference>
          <reference field="0" count="1" selected="0">
            <x v="4"/>
          </reference>
          <reference field="1" count="1" selected="0">
            <x v="1"/>
          </reference>
        </references>
      </pivotArea>
    </chartFormat>
    <chartFormat chart="30" format="521">
      <pivotArea type="data" outline="0" fieldPosition="0">
        <references count="3">
          <reference field="4294967294" count="1" selected="0">
            <x v="3"/>
          </reference>
          <reference field="0" count="1" selected="0">
            <x v="5"/>
          </reference>
          <reference field="1" count="1" selected="0">
            <x v="1"/>
          </reference>
        </references>
      </pivotArea>
    </chartFormat>
    <chartFormat chart="30" format="522">
      <pivotArea type="data" outline="0" fieldPosition="0">
        <references count="3">
          <reference field="4294967294" count="1" selected="0">
            <x v="3"/>
          </reference>
          <reference field="0" count="1" selected="0">
            <x v="6"/>
          </reference>
          <reference field="1" count="1" selected="0">
            <x v="1"/>
          </reference>
        </references>
      </pivotArea>
    </chartFormat>
    <chartFormat chart="30" format="523">
      <pivotArea type="data" outline="0" fieldPosition="0">
        <references count="3">
          <reference field="4294967294" count="1" selected="0">
            <x v="3"/>
          </reference>
          <reference field="0" count="1" selected="0">
            <x v="7"/>
          </reference>
          <reference field="1" count="1" selected="0">
            <x v="1"/>
          </reference>
        </references>
      </pivotArea>
    </chartFormat>
    <chartFormat chart="30" format="524">
      <pivotArea type="data" outline="0" fieldPosition="0">
        <references count="3">
          <reference field="4294967294" count="1" selected="0">
            <x v="3"/>
          </reference>
          <reference field="0" count="1" selected="0">
            <x v="8"/>
          </reference>
          <reference field="1" count="1" selected="0">
            <x v="1"/>
          </reference>
        </references>
      </pivotArea>
    </chartFormat>
    <chartFormat chart="30" format="525">
      <pivotArea type="data" outline="0" fieldPosition="0">
        <references count="3">
          <reference field="4294967294" count="1" selected="0">
            <x v="3"/>
          </reference>
          <reference field="0" count="1" selected="0">
            <x v="9"/>
          </reference>
          <reference field="1" count="1" selected="0">
            <x v="1"/>
          </reference>
        </references>
      </pivotArea>
    </chartFormat>
    <chartFormat chart="30" format="526">
      <pivotArea type="data" outline="0" fieldPosition="0">
        <references count="3">
          <reference field="4294967294" count="1" selected="0">
            <x v="3"/>
          </reference>
          <reference field="0" count="1" selected="0">
            <x v="10"/>
          </reference>
          <reference field="1" count="1" selected="0">
            <x v="1"/>
          </reference>
        </references>
      </pivotArea>
    </chartFormat>
    <chartFormat chart="30" format="527">
      <pivotArea type="data" outline="0" fieldPosition="0">
        <references count="3">
          <reference field="4294967294" count="1" selected="0">
            <x v="3"/>
          </reference>
          <reference field="0" count="1" selected="0">
            <x v="11"/>
          </reference>
          <reference field="1" count="1" selected="0">
            <x v="1"/>
          </reference>
        </references>
      </pivotArea>
    </chartFormat>
    <chartFormat chart="30" format="528">
      <pivotArea type="data" outline="0" fieldPosition="0">
        <references count="3">
          <reference field="4294967294" count="1" selected="0">
            <x v="3"/>
          </reference>
          <reference field="0" count="1" selected="0">
            <x v="12"/>
          </reference>
          <reference field="1" count="1" selected="0">
            <x v="1"/>
          </reference>
        </references>
      </pivotArea>
    </chartFormat>
    <chartFormat chart="30" format="529">
      <pivotArea type="data" outline="0" fieldPosition="0">
        <references count="3">
          <reference field="4294967294" count="1" selected="0">
            <x v="3"/>
          </reference>
          <reference field="0" count="1" selected="0">
            <x v="13"/>
          </reference>
          <reference field="1" count="1" selected="0">
            <x v="1"/>
          </reference>
        </references>
      </pivotArea>
    </chartFormat>
    <chartFormat chart="30" format="530">
      <pivotArea type="data" outline="0" fieldPosition="0">
        <references count="3">
          <reference field="4294967294" count="1" selected="0">
            <x v="3"/>
          </reference>
          <reference field="0" count="1" selected="0">
            <x v="14"/>
          </reference>
          <reference field="1" count="1" selected="0">
            <x v="1"/>
          </reference>
        </references>
      </pivotArea>
    </chartFormat>
    <chartFormat chart="30" format="531">
      <pivotArea type="data" outline="0" fieldPosition="0">
        <references count="3">
          <reference field="4294967294" count="1" selected="0">
            <x v="3"/>
          </reference>
          <reference field="0" count="1" selected="0">
            <x v="15"/>
          </reference>
          <reference field="1" count="1" selected="0">
            <x v="1"/>
          </reference>
        </references>
      </pivotArea>
    </chartFormat>
    <chartFormat chart="30" format="532">
      <pivotArea type="data" outline="0" fieldPosition="0">
        <references count="3">
          <reference field="4294967294" count="1" selected="0">
            <x v="3"/>
          </reference>
          <reference field="0" count="1" selected="0">
            <x v="16"/>
          </reference>
          <reference field="1" count="1" selected="0">
            <x v="1"/>
          </reference>
        </references>
      </pivotArea>
    </chartFormat>
    <chartFormat chart="30" format="533">
      <pivotArea type="data" outline="0" fieldPosition="0">
        <references count="3">
          <reference field="4294967294" count="1" selected="0">
            <x v="3"/>
          </reference>
          <reference field="0" count="1" selected="0">
            <x v="17"/>
          </reference>
          <reference field="1" count="1" selected="0">
            <x v="1"/>
          </reference>
        </references>
      </pivotArea>
    </chartFormat>
    <chartFormat chart="30" format="534">
      <pivotArea type="data" outline="0" fieldPosition="0">
        <references count="3">
          <reference field="4294967294" count="1" selected="0">
            <x v="3"/>
          </reference>
          <reference field="0" count="1" selected="0">
            <x v="18"/>
          </reference>
          <reference field="1" count="1" selected="0">
            <x v="1"/>
          </reference>
        </references>
      </pivotArea>
    </chartFormat>
    <chartFormat chart="30" format="535">
      <pivotArea type="data" outline="0" fieldPosition="0">
        <references count="3">
          <reference field="4294967294" count="1" selected="0">
            <x v="3"/>
          </reference>
          <reference field="0" count="1" selected="0">
            <x v="19"/>
          </reference>
          <reference field="1" count="1" selected="0">
            <x v="1"/>
          </reference>
        </references>
      </pivotArea>
    </chartFormat>
    <chartFormat chart="30" format="536">
      <pivotArea type="data" outline="0" fieldPosition="0">
        <references count="3">
          <reference field="4294967294" count="1" selected="0">
            <x v="3"/>
          </reference>
          <reference field="0" count="1" selected="0">
            <x v="20"/>
          </reference>
          <reference field="1" count="1" selected="0">
            <x v="1"/>
          </reference>
        </references>
      </pivotArea>
    </chartFormat>
    <chartFormat chart="30" format="537">
      <pivotArea type="data" outline="0" fieldPosition="0">
        <references count="3">
          <reference field="4294967294" count="1" selected="0">
            <x v="3"/>
          </reference>
          <reference field="0" count="1" selected="0">
            <x v="21"/>
          </reference>
          <reference field="1" count="1" selected="0">
            <x v="1"/>
          </reference>
        </references>
      </pivotArea>
    </chartFormat>
    <chartFormat chart="30" format="538">
      <pivotArea type="data" outline="0" fieldPosition="0">
        <references count="3">
          <reference field="4294967294" count="1" selected="0">
            <x v="3"/>
          </reference>
          <reference field="0" count="1" selected="0">
            <x v="22"/>
          </reference>
          <reference field="1" count="1" selected="0">
            <x v="1"/>
          </reference>
        </references>
      </pivotArea>
    </chartFormat>
    <chartFormat chart="30" format="539">
      <pivotArea type="data" outline="0" fieldPosition="0">
        <references count="3">
          <reference field="4294967294" count="1" selected="0">
            <x v="3"/>
          </reference>
          <reference field="0" count="1" selected="0">
            <x v="23"/>
          </reference>
          <reference field="1" count="1" selected="0">
            <x v="1"/>
          </reference>
        </references>
      </pivotArea>
    </chartFormat>
    <chartFormat chart="30" format="540">
      <pivotArea type="data" outline="0" fieldPosition="0">
        <references count="3">
          <reference field="4294967294" count="1" selected="0">
            <x v="3"/>
          </reference>
          <reference field="0" count="1" selected="0">
            <x v="24"/>
          </reference>
          <reference field="1" count="1" selected="0">
            <x v="1"/>
          </reference>
        </references>
      </pivotArea>
    </chartFormat>
    <chartFormat chart="30" format="541">
      <pivotArea type="data" outline="0" fieldPosition="0">
        <references count="3">
          <reference field="4294967294" count="1" selected="0">
            <x v="3"/>
          </reference>
          <reference field="0" count="1" selected="0">
            <x v="25"/>
          </reference>
          <reference field="1" count="1" selected="0">
            <x v="1"/>
          </reference>
        </references>
      </pivotArea>
    </chartFormat>
    <chartFormat chart="30" format="542">
      <pivotArea type="data" outline="0" fieldPosition="0">
        <references count="3">
          <reference field="4294967294" count="1" selected="0">
            <x v="3"/>
          </reference>
          <reference field="0" count="1" selected="0">
            <x v="26"/>
          </reference>
          <reference field="1" count="1" selected="0">
            <x v="1"/>
          </reference>
        </references>
      </pivotArea>
    </chartFormat>
    <chartFormat chart="30" format="543">
      <pivotArea type="data" outline="0" fieldPosition="0">
        <references count="3">
          <reference field="4294967294" count="1" selected="0">
            <x v="3"/>
          </reference>
          <reference field="0" count="1" selected="0">
            <x v="27"/>
          </reference>
          <reference field="1" count="1" selected="0">
            <x v="1"/>
          </reference>
        </references>
      </pivotArea>
    </chartFormat>
    <chartFormat chart="30" format="544">
      <pivotArea type="data" outline="0" fieldPosition="0">
        <references count="3">
          <reference field="4294967294" count="1" selected="0">
            <x v="3"/>
          </reference>
          <reference field="0" count="1" selected="0">
            <x v="28"/>
          </reference>
          <reference field="1" count="1" selected="0">
            <x v="1"/>
          </reference>
        </references>
      </pivotArea>
    </chartFormat>
    <chartFormat chart="30" format="545">
      <pivotArea type="data" outline="0" fieldPosition="0">
        <references count="3">
          <reference field="4294967294" count="1" selected="0">
            <x v="3"/>
          </reference>
          <reference field="0" count="1" selected="0">
            <x v="29"/>
          </reference>
          <reference field="1" count="1" selected="0">
            <x v="1"/>
          </reference>
        </references>
      </pivotArea>
    </chartFormat>
    <chartFormat chart="30" format="546">
      <pivotArea type="data" outline="0" fieldPosition="0">
        <references count="3">
          <reference field="4294967294" count="1" selected="0">
            <x v="3"/>
          </reference>
          <reference field="0" count="1" selected="0">
            <x v="30"/>
          </reference>
          <reference field="1" count="1" selected="0">
            <x v="1"/>
          </reference>
        </references>
      </pivotArea>
    </chartFormat>
    <chartFormat chart="30" format="547">
      <pivotArea type="data" outline="0" fieldPosition="0">
        <references count="3">
          <reference field="4294967294" count="1" selected="0">
            <x v="3"/>
          </reference>
          <reference field="0" count="1" selected="0">
            <x v="31"/>
          </reference>
          <reference field="1" count="1" selected="0">
            <x v="1"/>
          </reference>
        </references>
      </pivotArea>
    </chartFormat>
    <chartFormat chart="30" format="548">
      <pivotArea type="data" outline="0" fieldPosition="0">
        <references count="3">
          <reference field="4294967294" count="1" selected="0">
            <x v="3"/>
          </reference>
          <reference field="0" count="1" selected="0">
            <x v="32"/>
          </reference>
          <reference field="1" count="1" selected="0">
            <x v="1"/>
          </reference>
        </references>
      </pivotArea>
    </chartFormat>
    <chartFormat chart="30" format="549">
      <pivotArea type="data" outline="0" fieldPosition="0">
        <references count="3">
          <reference field="4294967294" count="1" selected="0">
            <x v="3"/>
          </reference>
          <reference field="0" count="1" selected="0">
            <x v="33"/>
          </reference>
          <reference field="1" count="1" selected="0">
            <x v="1"/>
          </reference>
        </references>
      </pivotArea>
    </chartFormat>
    <chartFormat chart="30" format="550">
      <pivotArea type="data" outline="0" fieldPosition="0">
        <references count="3">
          <reference field="4294967294" count="1" selected="0">
            <x v="3"/>
          </reference>
          <reference field="0" count="1" selected="0">
            <x v="34"/>
          </reference>
          <reference field="1" count="1" selected="0">
            <x v="1"/>
          </reference>
        </references>
      </pivotArea>
    </chartFormat>
    <chartFormat chart="30" format="551">
      <pivotArea type="data" outline="0" fieldPosition="0">
        <references count="3">
          <reference field="4294967294" count="1" selected="0">
            <x v="3"/>
          </reference>
          <reference field="0" count="1" selected="0">
            <x v="35"/>
          </reference>
          <reference field="1" count="1" selected="0">
            <x v="1"/>
          </reference>
        </references>
      </pivotArea>
    </chartFormat>
    <chartFormat chart="30" format="552">
      <pivotArea type="data" outline="0" fieldPosition="0">
        <references count="3">
          <reference field="4294967294" count="1" selected="0">
            <x v="3"/>
          </reference>
          <reference field="0" count="1" selected="0">
            <x v="0"/>
          </reference>
          <reference field="1" count="1" selected="0">
            <x v="2"/>
          </reference>
        </references>
      </pivotArea>
    </chartFormat>
    <chartFormat chart="30" format="553">
      <pivotArea type="data" outline="0" fieldPosition="0">
        <references count="3">
          <reference field="4294967294" count="1" selected="0">
            <x v="3"/>
          </reference>
          <reference field="0" count="1" selected="0">
            <x v="1"/>
          </reference>
          <reference field="1" count="1" selected="0">
            <x v="2"/>
          </reference>
        </references>
      </pivotArea>
    </chartFormat>
    <chartFormat chart="30" format="554">
      <pivotArea type="data" outline="0" fieldPosition="0">
        <references count="3">
          <reference field="4294967294" count="1" selected="0">
            <x v="3"/>
          </reference>
          <reference field="0" count="1" selected="0">
            <x v="2"/>
          </reference>
          <reference field="1" count="1" selected="0">
            <x v="2"/>
          </reference>
        </references>
      </pivotArea>
    </chartFormat>
    <chartFormat chart="30" format="555">
      <pivotArea type="data" outline="0" fieldPosition="0">
        <references count="3">
          <reference field="4294967294" count="1" selected="0">
            <x v="3"/>
          </reference>
          <reference field="0" count="1" selected="0">
            <x v="3"/>
          </reference>
          <reference field="1" count="1" selected="0">
            <x v="2"/>
          </reference>
        </references>
      </pivotArea>
    </chartFormat>
    <chartFormat chart="30" format="556">
      <pivotArea type="data" outline="0" fieldPosition="0">
        <references count="3">
          <reference field="4294967294" count="1" selected="0">
            <x v="3"/>
          </reference>
          <reference field="0" count="1" selected="0">
            <x v="4"/>
          </reference>
          <reference field="1" count="1" selected="0">
            <x v="2"/>
          </reference>
        </references>
      </pivotArea>
    </chartFormat>
    <chartFormat chart="30" format="557">
      <pivotArea type="data" outline="0" fieldPosition="0">
        <references count="3">
          <reference field="4294967294" count="1" selected="0">
            <x v="3"/>
          </reference>
          <reference field="0" count="1" selected="0">
            <x v="5"/>
          </reference>
          <reference field="1" count="1" selected="0">
            <x v="2"/>
          </reference>
        </references>
      </pivotArea>
    </chartFormat>
    <chartFormat chart="30" format="558">
      <pivotArea type="data" outline="0" fieldPosition="0">
        <references count="3">
          <reference field="4294967294" count="1" selected="0">
            <x v="3"/>
          </reference>
          <reference field="0" count="1" selected="0">
            <x v="6"/>
          </reference>
          <reference field="1" count="1" selected="0">
            <x v="2"/>
          </reference>
        </references>
      </pivotArea>
    </chartFormat>
    <chartFormat chart="30" format="559">
      <pivotArea type="data" outline="0" fieldPosition="0">
        <references count="3">
          <reference field="4294967294" count="1" selected="0">
            <x v="3"/>
          </reference>
          <reference field="0" count="1" selected="0">
            <x v="7"/>
          </reference>
          <reference field="1" count="1" selected="0">
            <x v="2"/>
          </reference>
        </references>
      </pivotArea>
    </chartFormat>
    <chartFormat chart="30" format="560">
      <pivotArea type="data" outline="0" fieldPosition="0">
        <references count="3">
          <reference field="4294967294" count="1" selected="0">
            <x v="3"/>
          </reference>
          <reference field="0" count="1" selected="0">
            <x v="8"/>
          </reference>
          <reference field="1" count="1" selected="0">
            <x v="2"/>
          </reference>
        </references>
      </pivotArea>
    </chartFormat>
    <chartFormat chart="30" format="561">
      <pivotArea type="data" outline="0" fieldPosition="0">
        <references count="3">
          <reference field="4294967294" count="1" selected="0">
            <x v="3"/>
          </reference>
          <reference field="0" count="1" selected="0">
            <x v="9"/>
          </reference>
          <reference field="1" count="1" selected="0">
            <x v="2"/>
          </reference>
        </references>
      </pivotArea>
    </chartFormat>
    <chartFormat chart="30" format="562">
      <pivotArea type="data" outline="0" fieldPosition="0">
        <references count="3">
          <reference field="4294967294" count="1" selected="0">
            <x v="3"/>
          </reference>
          <reference field="0" count="1" selected="0">
            <x v="10"/>
          </reference>
          <reference field="1" count="1" selected="0">
            <x v="2"/>
          </reference>
        </references>
      </pivotArea>
    </chartFormat>
    <chartFormat chart="30" format="563">
      <pivotArea type="data" outline="0" fieldPosition="0">
        <references count="3">
          <reference field="4294967294" count="1" selected="0">
            <x v="3"/>
          </reference>
          <reference field="0" count="1" selected="0">
            <x v="11"/>
          </reference>
          <reference field="1" count="1" selected="0">
            <x v="2"/>
          </reference>
        </references>
      </pivotArea>
    </chartFormat>
    <chartFormat chart="30" format="564">
      <pivotArea type="data" outline="0" fieldPosition="0">
        <references count="3">
          <reference field="4294967294" count="1" selected="0">
            <x v="3"/>
          </reference>
          <reference field="0" count="1" selected="0">
            <x v="12"/>
          </reference>
          <reference field="1" count="1" selected="0">
            <x v="2"/>
          </reference>
        </references>
      </pivotArea>
    </chartFormat>
    <chartFormat chart="30" format="565">
      <pivotArea type="data" outline="0" fieldPosition="0">
        <references count="3">
          <reference field="4294967294" count="1" selected="0">
            <x v="3"/>
          </reference>
          <reference field="0" count="1" selected="0">
            <x v="13"/>
          </reference>
          <reference field="1" count="1" selected="0">
            <x v="2"/>
          </reference>
        </references>
      </pivotArea>
    </chartFormat>
    <chartFormat chart="30" format="566">
      <pivotArea type="data" outline="0" fieldPosition="0">
        <references count="3">
          <reference field="4294967294" count="1" selected="0">
            <x v="3"/>
          </reference>
          <reference field="0" count="1" selected="0">
            <x v="14"/>
          </reference>
          <reference field="1" count="1" selected="0">
            <x v="2"/>
          </reference>
        </references>
      </pivotArea>
    </chartFormat>
    <chartFormat chart="30" format="567">
      <pivotArea type="data" outline="0" fieldPosition="0">
        <references count="3">
          <reference field="4294967294" count="1" selected="0">
            <x v="3"/>
          </reference>
          <reference field="0" count="1" selected="0">
            <x v="15"/>
          </reference>
          <reference field="1" count="1" selected="0">
            <x v="2"/>
          </reference>
        </references>
      </pivotArea>
    </chartFormat>
    <chartFormat chart="30" format="568">
      <pivotArea type="data" outline="0" fieldPosition="0">
        <references count="3">
          <reference field="4294967294" count="1" selected="0">
            <x v="3"/>
          </reference>
          <reference field="0" count="1" selected="0">
            <x v="16"/>
          </reference>
          <reference field="1" count="1" selected="0">
            <x v="2"/>
          </reference>
        </references>
      </pivotArea>
    </chartFormat>
    <chartFormat chart="30" format="569">
      <pivotArea type="data" outline="0" fieldPosition="0">
        <references count="3">
          <reference field="4294967294" count="1" selected="0">
            <x v="3"/>
          </reference>
          <reference field="0" count="1" selected="0">
            <x v="17"/>
          </reference>
          <reference field="1" count="1" selected="0">
            <x v="2"/>
          </reference>
        </references>
      </pivotArea>
    </chartFormat>
    <chartFormat chart="30" format="570">
      <pivotArea type="data" outline="0" fieldPosition="0">
        <references count="3">
          <reference field="4294967294" count="1" selected="0">
            <x v="3"/>
          </reference>
          <reference field="0" count="1" selected="0">
            <x v="18"/>
          </reference>
          <reference field="1" count="1" selected="0">
            <x v="2"/>
          </reference>
        </references>
      </pivotArea>
    </chartFormat>
    <chartFormat chart="30" format="571">
      <pivotArea type="data" outline="0" fieldPosition="0">
        <references count="3">
          <reference field="4294967294" count="1" selected="0">
            <x v="3"/>
          </reference>
          <reference field="0" count="1" selected="0">
            <x v="19"/>
          </reference>
          <reference field="1" count="1" selected="0">
            <x v="2"/>
          </reference>
        </references>
      </pivotArea>
    </chartFormat>
    <chartFormat chart="30" format="572">
      <pivotArea type="data" outline="0" fieldPosition="0">
        <references count="3">
          <reference field="4294967294" count="1" selected="0">
            <x v="3"/>
          </reference>
          <reference field="0" count="1" selected="0">
            <x v="20"/>
          </reference>
          <reference field="1" count="1" selected="0">
            <x v="2"/>
          </reference>
        </references>
      </pivotArea>
    </chartFormat>
    <chartFormat chart="30" format="573">
      <pivotArea type="data" outline="0" fieldPosition="0">
        <references count="3">
          <reference field="4294967294" count="1" selected="0">
            <x v="3"/>
          </reference>
          <reference field="0" count="1" selected="0">
            <x v="21"/>
          </reference>
          <reference field="1" count="1" selected="0">
            <x v="2"/>
          </reference>
        </references>
      </pivotArea>
    </chartFormat>
    <chartFormat chart="30" format="574">
      <pivotArea type="data" outline="0" fieldPosition="0">
        <references count="3">
          <reference field="4294967294" count="1" selected="0">
            <x v="3"/>
          </reference>
          <reference field="0" count="1" selected="0">
            <x v="22"/>
          </reference>
          <reference field="1" count="1" selected="0">
            <x v="2"/>
          </reference>
        </references>
      </pivotArea>
    </chartFormat>
    <chartFormat chart="30" format="575">
      <pivotArea type="data" outline="0" fieldPosition="0">
        <references count="3">
          <reference field="4294967294" count="1" selected="0">
            <x v="3"/>
          </reference>
          <reference field="0" count="1" selected="0">
            <x v="23"/>
          </reference>
          <reference field="1" count="1" selected="0">
            <x v="2"/>
          </reference>
        </references>
      </pivotArea>
    </chartFormat>
    <chartFormat chart="30" format="576">
      <pivotArea type="data" outline="0" fieldPosition="0">
        <references count="3">
          <reference field="4294967294" count="1" selected="0">
            <x v="3"/>
          </reference>
          <reference field="0" count="1" selected="0">
            <x v="24"/>
          </reference>
          <reference field="1" count="1" selected="0">
            <x v="2"/>
          </reference>
        </references>
      </pivotArea>
    </chartFormat>
    <chartFormat chart="30" format="577">
      <pivotArea type="data" outline="0" fieldPosition="0">
        <references count="3">
          <reference field="4294967294" count="1" selected="0">
            <x v="3"/>
          </reference>
          <reference field="0" count="1" selected="0">
            <x v="25"/>
          </reference>
          <reference field="1" count="1" selected="0">
            <x v="2"/>
          </reference>
        </references>
      </pivotArea>
    </chartFormat>
    <chartFormat chart="30" format="578">
      <pivotArea type="data" outline="0" fieldPosition="0">
        <references count="3">
          <reference field="4294967294" count="1" selected="0">
            <x v="3"/>
          </reference>
          <reference field="0" count="1" selected="0">
            <x v="26"/>
          </reference>
          <reference field="1" count="1" selected="0">
            <x v="2"/>
          </reference>
        </references>
      </pivotArea>
    </chartFormat>
    <chartFormat chart="30" format="579">
      <pivotArea type="data" outline="0" fieldPosition="0">
        <references count="3">
          <reference field="4294967294" count="1" selected="0">
            <x v="3"/>
          </reference>
          <reference field="0" count="1" selected="0">
            <x v="27"/>
          </reference>
          <reference field="1" count="1" selected="0">
            <x v="2"/>
          </reference>
        </references>
      </pivotArea>
    </chartFormat>
    <chartFormat chart="30" format="580">
      <pivotArea type="data" outline="0" fieldPosition="0">
        <references count="3">
          <reference field="4294967294" count="1" selected="0">
            <x v="3"/>
          </reference>
          <reference field="0" count="1" selected="0">
            <x v="28"/>
          </reference>
          <reference field="1" count="1" selected="0">
            <x v="2"/>
          </reference>
        </references>
      </pivotArea>
    </chartFormat>
    <chartFormat chart="30" format="581">
      <pivotArea type="data" outline="0" fieldPosition="0">
        <references count="3">
          <reference field="4294967294" count="1" selected="0">
            <x v="3"/>
          </reference>
          <reference field="0" count="1" selected="0">
            <x v="29"/>
          </reference>
          <reference field="1" count="1" selected="0">
            <x v="2"/>
          </reference>
        </references>
      </pivotArea>
    </chartFormat>
    <chartFormat chart="30" format="582">
      <pivotArea type="data" outline="0" fieldPosition="0">
        <references count="3">
          <reference field="4294967294" count="1" selected="0">
            <x v="3"/>
          </reference>
          <reference field="0" count="1" selected="0">
            <x v="30"/>
          </reference>
          <reference field="1" count="1" selected="0">
            <x v="2"/>
          </reference>
        </references>
      </pivotArea>
    </chartFormat>
    <chartFormat chart="30" format="583">
      <pivotArea type="data" outline="0" fieldPosition="0">
        <references count="3">
          <reference field="4294967294" count="1" selected="0">
            <x v="3"/>
          </reference>
          <reference field="0" count="1" selected="0">
            <x v="31"/>
          </reference>
          <reference field="1" count="1" selected="0">
            <x v="2"/>
          </reference>
        </references>
      </pivotArea>
    </chartFormat>
    <chartFormat chart="30" format="584">
      <pivotArea type="data" outline="0" fieldPosition="0">
        <references count="3">
          <reference field="4294967294" count="1" selected="0">
            <x v="3"/>
          </reference>
          <reference field="0" count="1" selected="0">
            <x v="32"/>
          </reference>
          <reference field="1" count="1" selected="0">
            <x v="2"/>
          </reference>
        </references>
      </pivotArea>
    </chartFormat>
    <chartFormat chart="30" format="585">
      <pivotArea type="data" outline="0" fieldPosition="0">
        <references count="3">
          <reference field="4294967294" count="1" selected="0">
            <x v="3"/>
          </reference>
          <reference field="0" count="1" selected="0">
            <x v="33"/>
          </reference>
          <reference field="1" count="1" selected="0">
            <x v="2"/>
          </reference>
        </references>
      </pivotArea>
    </chartFormat>
    <chartFormat chart="30" format="586">
      <pivotArea type="data" outline="0" fieldPosition="0">
        <references count="3">
          <reference field="4294967294" count="1" selected="0">
            <x v="3"/>
          </reference>
          <reference field="0" count="1" selected="0">
            <x v="34"/>
          </reference>
          <reference field="1" count="1" selected="0">
            <x v="2"/>
          </reference>
        </references>
      </pivotArea>
    </chartFormat>
    <chartFormat chart="30" format="587">
      <pivotArea type="data" outline="0" fieldPosition="0">
        <references count="3">
          <reference field="4294967294" count="1" selected="0">
            <x v="3"/>
          </reference>
          <reference field="0" count="1" selected="0">
            <x v="35"/>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3BFA5-2F17-49BE-8429-F6ECC78B33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L12" firstHeaderRow="0" firstDataRow="1" firstDataCol="1"/>
  <pivotFields count="6">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4">
        <item x="0"/>
        <item x="1"/>
        <item x="2"/>
        <item t="default"/>
      </items>
    </pivotField>
    <pivotField dataField="1" showAll="0"/>
    <pivotField dataField="1" showAll="0"/>
    <pivotField showAll="0"/>
    <pivotField dataField="1" showAll="0"/>
  </pivotFields>
  <rowFields count="1">
    <field x="1"/>
  </rowFields>
  <rowItems count="4">
    <i>
      <x/>
    </i>
    <i>
      <x v="1"/>
    </i>
    <i>
      <x v="2"/>
    </i>
    <i t="grand">
      <x/>
    </i>
  </rowItems>
  <colFields count="1">
    <field x="-2"/>
  </colFields>
  <colItems count="3">
    <i>
      <x/>
    </i>
    <i i="1">
      <x v="1"/>
    </i>
    <i i="2">
      <x v="2"/>
    </i>
  </colItems>
  <dataFields count="3">
    <dataField name="Sum of Cases" fld="2" baseField="0" baseItem="0"/>
    <dataField name="Sum of Deaths" fld="3" baseField="0" baseItem="0"/>
    <dataField name="Sum of Vaccinat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B9DA941-8FD7-4BFD-83C0-22790BBB0032}" sourceName="State">
  <pivotTables>
    <pivotTable tabId="3" name="PivotTable2"/>
    <pivotTable tabId="3" name="PivotTable1"/>
  </pivotTables>
  <data>
    <tabular pivotCacheId="1479872652">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86DB5B-6612-4782-A46F-385BCD1D91B7}" sourceName="Year">
  <pivotTables>
    <pivotTable tabId="3" name="PivotTable2"/>
    <pivotTable tabId="3" name="PivotTable1"/>
  </pivotTables>
  <data>
    <tabular pivotCacheId="14798726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24A8B27-7742-454C-B8B0-9CAB6BC558B9}" cache="Slicer_State" caption="State" rowHeight="251883"/>
  <slicer name="Year" xr10:uid="{0ACE29AA-3EA7-487C-85D7-29615B445419}" cache="Slicer_Year" caption="Year"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670109-FDB6-40F7-844B-3B2A44D46510}" name="Table1" displayName="Table1" ref="A1:F109" totalsRowShown="0">
  <autoFilter ref="A1:F109" xr:uid="{E2670109-FDB6-40F7-844B-3B2A44D46510}"/>
  <tableColumns count="6">
    <tableColumn id="1" xr3:uid="{AC010304-4173-4BB8-9856-BDDFC2AC1035}" name="State"/>
    <tableColumn id="2" xr3:uid="{5D85FE99-007D-4A9F-B187-E4B47C6CFC32}" name="Year"/>
    <tableColumn id="3" xr3:uid="{691523A6-3428-46E1-B20F-324478432C1C}" name="Cases"/>
    <tableColumn id="4" xr3:uid="{4924AA4D-6D9C-419B-B2D4-74CB2EC5A168}" name="Deaths"/>
    <tableColumn id="5" xr3:uid="{BC8ADEBE-425C-401F-9781-FC6BE640BA13}" name="Recovered"/>
    <tableColumn id="6" xr3:uid="{729A136B-D321-43C9-B287-86CEA4CF5CD0}" name="Vaccin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7D8B-78DA-4788-B8D9-755B714A0CFC}">
  <dimension ref="A1:F127"/>
  <sheetViews>
    <sheetView tabSelected="1" zoomScale="60" zoomScaleNormal="60" workbookViewId="0">
      <pane ySplit="1" topLeftCell="A104" activePane="bottomLeft" state="frozen"/>
      <selection pane="bottomLeft" activeCell="N6" sqref="N6"/>
    </sheetView>
  </sheetViews>
  <sheetFormatPr defaultRowHeight="14.5" x14ac:dyDescent="0.35"/>
  <cols>
    <col min="1" max="1" width="36.1796875" bestFit="1" customWidth="1"/>
    <col min="2" max="2" width="8.90625" bestFit="1" customWidth="1"/>
    <col min="3" max="3" width="14.81640625" bestFit="1" customWidth="1"/>
    <col min="4" max="4" width="11.26953125" bestFit="1" customWidth="1"/>
    <col min="5" max="5" width="11.6328125" customWidth="1"/>
    <col min="6" max="6" width="12.26953125" customWidth="1"/>
    <col min="9" max="9" width="12.08984375" bestFit="1" customWidth="1"/>
  </cols>
  <sheetData>
    <row r="1" spans="1:6" x14ac:dyDescent="0.35">
      <c r="A1" t="s">
        <v>0</v>
      </c>
      <c r="B1" t="s">
        <v>1</v>
      </c>
      <c r="C1" t="s">
        <v>2</v>
      </c>
      <c r="D1" t="s">
        <v>3</v>
      </c>
      <c r="E1" t="s">
        <v>4</v>
      </c>
      <c r="F1" t="s">
        <v>5</v>
      </c>
    </row>
    <row r="2" spans="1:6" x14ac:dyDescent="0.35">
      <c r="A2" t="s">
        <v>6</v>
      </c>
      <c r="B2">
        <v>2020</v>
      </c>
      <c r="C2">
        <v>4941</v>
      </c>
      <c r="D2">
        <v>62</v>
      </c>
      <c r="E2">
        <v>4820</v>
      </c>
      <c r="F2">
        <v>0</v>
      </c>
    </row>
    <row r="3" spans="1:6" x14ac:dyDescent="0.35">
      <c r="A3" t="s">
        <v>6</v>
      </c>
      <c r="B3">
        <v>2021</v>
      </c>
      <c r="C3">
        <v>7720</v>
      </c>
      <c r="D3">
        <v>129</v>
      </c>
      <c r="E3">
        <v>7582</v>
      </c>
      <c r="F3">
        <v>592837</v>
      </c>
    </row>
    <row r="4" spans="1:6" x14ac:dyDescent="0.35">
      <c r="A4" t="s">
        <v>6</v>
      </c>
      <c r="B4">
        <v>2022</v>
      </c>
      <c r="C4">
        <v>10746</v>
      </c>
      <c r="D4">
        <v>129</v>
      </c>
      <c r="E4">
        <v>10612</v>
      </c>
      <c r="F4">
        <v>991263</v>
      </c>
    </row>
    <row r="5" spans="1:6" x14ac:dyDescent="0.35">
      <c r="A5" t="s">
        <v>7</v>
      </c>
      <c r="B5">
        <v>2020</v>
      </c>
      <c r="C5">
        <v>881948</v>
      </c>
      <c r="D5">
        <v>7104</v>
      </c>
      <c r="E5">
        <v>871588</v>
      </c>
      <c r="F5">
        <v>0</v>
      </c>
    </row>
    <row r="6" spans="1:6" x14ac:dyDescent="0.35">
      <c r="A6" t="s">
        <v>7</v>
      </c>
      <c r="B6">
        <v>2021</v>
      </c>
      <c r="C6">
        <v>2076979</v>
      </c>
      <c r="D6">
        <v>14493</v>
      </c>
      <c r="E6">
        <v>2061405</v>
      </c>
      <c r="F6">
        <v>68894212</v>
      </c>
    </row>
    <row r="7" spans="1:6" x14ac:dyDescent="0.35">
      <c r="A7" t="s">
        <v>7</v>
      </c>
      <c r="B7">
        <v>2022</v>
      </c>
      <c r="C7">
        <v>2349069</v>
      </c>
      <c r="D7">
        <v>14733</v>
      </c>
      <c r="E7">
        <v>2324332</v>
      </c>
      <c r="F7">
        <v>110655938</v>
      </c>
    </row>
    <row r="8" spans="1:6" x14ac:dyDescent="0.35">
      <c r="A8" t="s">
        <v>8</v>
      </c>
      <c r="B8">
        <v>2020</v>
      </c>
      <c r="C8">
        <v>16711</v>
      </c>
      <c r="D8">
        <v>56</v>
      </c>
      <c r="E8">
        <v>16549</v>
      </c>
      <c r="F8">
        <v>0</v>
      </c>
    </row>
    <row r="9" spans="1:6" x14ac:dyDescent="0.35">
      <c r="A9" t="s">
        <v>8</v>
      </c>
      <c r="B9">
        <v>2021</v>
      </c>
      <c r="C9">
        <v>55339</v>
      </c>
      <c r="D9">
        <v>280</v>
      </c>
      <c r="E9">
        <v>55038</v>
      </c>
      <c r="F9">
        <v>1461358</v>
      </c>
    </row>
    <row r="10" spans="1:6" x14ac:dyDescent="0.35">
      <c r="A10" t="s">
        <v>8</v>
      </c>
      <c r="B10">
        <v>2022</v>
      </c>
      <c r="C10">
        <v>66890</v>
      </c>
      <c r="D10">
        <v>296</v>
      </c>
      <c r="E10">
        <v>66594</v>
      </c>
      <c r="F10">
        <v>1923512</v>
      </c>
    </row>
    <row r="11" spans="1:6" x14ac:dyDescent="0.35">
      <c r="A11" t="s">
        <v>9</v>
      </c>
      <c r="B11">
        <v>2020</v>
      </c>
      <c r="C11">
        <v>216139</v>
      </c>
      <c r="D11">
        <v>1043</v>
      </c>
      <c r="E11">
        <v>211838</v>
      </c>
      <c r="F11">
        <v>0</v>
      </c>
    </row>
    <row r="12" spans="1:6" x14ac:dyDescent="0.35">
      <c r="A12" t="s">
        <v>9</v>
      </c>
      <c r="B12">
        <v>2021</v>
      </c>
      <c r="C12">
        <v>620573</v>
      </c>
      <c r="D12">
        <v>6164</v>
      </c>
      <c r="E12">
        <v>612282</v>
      </c>
      <c r="F12">
        <v>37549618</v>
      </c>
    </row>
    <row r="13" spans="1:6" x14ac:dyDescent="0.35">
      <c r="A13" t="s">
        <v>9</v>
      </c>
      <c r="B13">
        <v>2022</v>
      </c>
      <c r="C13">
        <v>746100</v>
      </c>
      <c r="D13">
        <v>8035</v>
      </c>
      <c r="E13">
        <v>738065</v>
      </c>
      <c r="F13">
        <v>50325492</v>
      </c>
    </row>
    <row r="14" spans="1:6" x14ac:dyDescent="0.35">
      <c r="A14" t="s">
        <v>10</v>
      </c>
      <c r="B14">
        <v>2020</v>
      </c>
      <c r="C14">
        <v>251348</v>
      </c>
      <c r="D14">
        <v>1393</v>
      </c>
      <c r="E14">
        <v>245156</v>
      </c>
      <c r="F14">
        <v>0</v>
      </c>
    </row>
    <row r="15" spans="1:6" x14ac:dyDescent="0.35">
      <c r="A15" t="s">
        <v>10</v>
      </c>
      <c r="B15">
        <v>2021</v>
      </c>
      <c r="C15">
        <v>726738</v>
      </c>
      <c r="D15">
        <v>12096</v>
      </c>
      <c r="E15">
        <v>714308</v>
      </c>
      <c r="F15">
        <v>99824631</v>
      </c>
    </row>
    <row r="16" spans="1:6" x14ac:dyDescent="0.35">
      <c r="A16" t="s">
        <v>10</v>
      </c>
      <c r="B16">
        <v>2022</v>
      </c>
      <c r="C16">
        <v>851388</v>
      </c>
      <c r="D16">
        <v>12302</v>
      </c>
      <c r="E16">
        <v>839062</v>
      </c>
      <c r="F16">
        <v>157252874</v>
      </c>
    </row>
    <row r="17" spans="1:6" x14ac:dyDescent="0.35">
      <c r="A17" t="s">
        <v>11</v>
      </c>
      <c r="B17">
        <v>2020</v>
      </c>
      <c r="C17">
        <v>19682</v>
      </c>
      <c r="D17">
        <v>316</v>
      </c>
      <c r="E17">
        <v>18967</v>
      </c>
      <c r="F17">
        <v>0</v>
      </c>
    </row>
    <row r="18" spans="1:6" x14ac:dyDescent="0.35">
      <c r="A18" t="s">
        <v>11</v>
      </c>
      <c r="B18">
        <v>2021</v>
      </c>
      <c r="C18">
        <v>65846</v>
      </c>
      <c r="D18">
        <v>1079</v>
      </c>
      <c r="E18">
        <v>64638</v>
      </c>
      <c r="F18">
        <v>1923051</v>
      </c>
    </row>
    <row r="19" spans="1:6" x14ac:dyDescent="0.35">
      <c r="A19" t="s">
        <v>11</v>
      </c>
      <c r="B19">
        <v>2022</v>
      </c>
      <c r="C19">
        <v>99349</v>
      </c>
      <c r="D19">
        <v>1181</v>
      </c>
      <c r="E19">
        <v>98162</v>
      </c>
      <c r="F19">
        <v>2289417</v>
      </c>
    </row>
    <row r="20" spans="1:6" x14ac:dyDescent="0.35">
      <c r="A20" t="s">
        <v>12</v>
      </c>
      <c r="B20">
        <v>2020</v>
      </c>
      <c r="C20">
        <v>278540</v>
      </c>
      <c r="D20">
        <v>3350</v>
      </c>
      <c r="E20">
        <v>263251</v>
      </c>
      <c r="F20">
        <v>0</v>
      </c>
    </row>
    <row r="21" spans="1:6" x14ac:dyDescent="0.35">
      <c r="A21" t="s">
        <v>12</v>
      </c>
      <c r="B21">
        <v>2021</v>
      </c>
      <c r="C21">
        <v>1007997</v>
      </c>
      <c r="D21">
        <v>13600</v>
      </c>
      <c r="E21">
        <v>993800</v>
      </c>
      <c r="F21">
        <v>31698374</v>
      </c>
    </row>
    <row r="22" spans="1:6" x14ac:dyDescent="0.35">
      <c r="A22" t="s">
        <v>12</v>
      </c>
      <c r="B22">
        <v>2022</v>
      </c>
      <c r="C22">
        <v>1177754</v>
      </c>
      <c r="D22">
        <v>14146</v>
      </c>
      <c r="E22">
        <v>1163602</v>
      </c>
      <c r="F22">
        <v>49157832</v>
      </c>
    </row>
    <row r="23" spans="1:6" x14ac:dyDescent="0.35">
      <c r="A23" t="s">
        <v>13</v>
      </c>
      <c r="B23">
        <v>2020</v>
      </c>
      <c r="C23">
        <v>3375</v>
      </c>
      <c r="D23">
        <v>2</v>
      </c>
      <c r="E23">
        <v>3364</v>
      </c>
      <c r="F23">
        <v>0</v>
      </c>
    </row>
    <row r="24" spans="1:6" x14ac:dyDescent="0.35">
      <c r="A24" t="s">
        <v>13</v>
      </c>
      <c r="B24">
        <v>2021</v>
      </c>
      <c r="C24">
        <v>10691</v>
      </c>
      <c r="D24">
        <v>4</v>
      </c>
      <c r="E24">
        <v>10687</v>
      </c>
      <c r="F24">
        <v>1294822</v>
      </c>
    </row>
    <row r="25" spans="1:6" x14ac:dyDescent="0.35">
      <c r="A25" t="s">
        <v>13</v>
      </c>
      <c r="B25">
        <v>2022</v>
      </c>
      <c r="C25">
        <v>11591</v>
      </c>
      <c r="D25">
        <v>4</v>
      </c>
      <c r="E25">
        <v>11587</v>
      </c>
      <c r="F25">
        <v>1582914</v>
      </c>
    </row>
    <row r="26" spans="1:6" x14ac:dyDescent="0.35">
      <c r="A26" t="s">
        <v>14</v>
      </c>
      <c r="B26">
        <v>2020</v>
      </c>
      <c r="C26">
        <v>624795</v>
      </c>
      <c r="D26">
        <v>10523</v>
      </c>
      <c r="E26">
        <v>608434</v>
      </c>
      <c r="F26">
        <v>0</v>
      </c>
    </row>
    <row r="27" spans="1:6" x14ac:dyDescent="0.35">
      <c r="A27" t="s">
        <v>14</v>
      </c>
      <c r="B27">
        <v>2021</v>
      </c>
      <c r="C27">
        <v>1446415</v>
      </c>
      <c r="D27">
        <v>25107</v>
      </c>
      <c r="E27">
        <v>1418227</v>
      </c>
      <c r="F27">
        <v>26183944</v>
      </c>
    </row>
    <row r="28" spans="1:6" x14ac:dyDescent="0.35">
      <c r="A28" t="s">
        <v>14</v>
      </c>
      <c r="B28">
        <v>2022</v>
      </c>
      <c r="C28">
        <v>2007208</v>
      </c>
      <c r="D28">
        <v>26521</v>
      </c>
      <c r="E28">
        <v>1980657</v>
      </c>
      <c r="F28">
        <v>37402619</v>
      </c>
    </row>
    <row r="29" spans="1:6" x14ac:dyDescent="0.35">
      <c r="A29" t="s">
        <v>15</v>
      </c>
      <c r="B29">
        <v>2020</v>
      </c>
      <c r="C29">
        <v>50981</v>
      </c>
      <c r="D29">
        <v>737</v>
      </c>
      <c r="E29">
        <v>49313</v>
      </c>
      <c r="F29">
        <v>0</v>
      </c>
    </row>
    <row r="30" spans="1:6" x14ac:dyDescent="0.35">
      <c r="A30" t="s">
        <v>15</v>
      </c>
      <c r="B30">
        <v>2021</v>
      </c>
      <c r="C30">
        <v>180660</v>
      </c>
      <c r="D30">
        <v>3521</v>
      </c>
      <c r="E30">
        <v>176283</v>
      </c>
      <c r="F30">
        <v>2589341</v>
      </c>
    </row>
    <row r="31" spans="1:6" x14ac:dyDescent="0.35">
      <c r="A31" t="s">
        <v>15</v>
      </c>
      <c r="B31">
        <v>2022</v>
      </c>
      <c r="C31">
        <v>263084</v>
      </c>
      <c r="D31">
        <v>4013</v>
      </c>
      <c r="E31">
        <v>255050</v>
      </c>
      <c r="F31">
        <v>2874312</v>
      </c>
    </row>
    <row r="32" spans="1:6" x14ac:dyDescent="0.35">
      <c r="A32" t="s">
        <v>16</v>
      </c>
      <c r="B32">
        <v>2020</v>
      </c>
      <c r="C32">
        <v>244258</v>
      </c>
      <c r="D32">
        <v>4302</v>
      </c>
      <c r="E32">
        <v>229977</v>
      </c>
      <c r="F32">
        <v>0</v>
      </c>
    </row>
    <row r="33" spans="1:6" x14ac:dyDescent="0.35">
      <c r="A33" t="s">
        <v>16</v>
      </c>
      <c r="B33">
        <v>2021</v>
      </c>
      <c r="C33">
        <v>831078</v>
      </c>
      <c r="D33">
        <v>10118</v>
      </c>
      <c r="E33">
        <v>818589</v>
      </c>
      <c r="F33">
        <v>89563214</v>
      </c>
    </row>
    <row r="34" spans="1:6" x14ac:dyDescent="0.35">
      <c r="A34" t="s">
        <v>16</v>
      </c>
      <c r="B34">
        <v>2022</v>
      </c>
      <c r="C34">
        <v>1277569</v>
      </c>
      <c r="D34">
        <v>11043</v>
      </c>
      <c r="E34">
        <v>1266479</v>
      </c>
      <c r="F34">
        <v>128084122</v>
      </c>
    </row>
    <row r="35" spans="1:6" x14ac:dyDescent="0.35">
      <c r="A35" t="s">
        <v>17</v>
      </c>
      <c r="B35">
        <v>2020</v>
      </c>
      <c r="C35">
        <v>262054</v>
      </c>
      <c r="D35">
        <v>2899</v>
      </c>
      <c r="E35">
        <v>255356</v>
      </c>
      <c r="F35">
        <v>0</v>
      </c>
    </row>
    <row r="36" spans="1:6" x14ac:dyDescent="0.35">
      <c r="A36" t="s">
        <v>17</v>
      </c>
      <c r="B36">
        <v>2021</v>
      </c>
      <c r="C36">
        <v>773361</v>
      </c>
      <c r="D36">
        <v>10063</v>
      </c>
      <c r="E36">
        <v>762228</v>
      </c>
      <c r="F36">
        <v>34493121</v>
      </c>
    </row>
    <row r="37" spans="1:6" x14ac:dyDescent="0.35">
      <c r="A37" t="s">
        <v>17</v>
      </c>
      <c r="B37">
        <v>2022</v>
      </c>
      <c r="C37">
        <v>1056611</v>
      </c>
      <c r="D37">
        <v>10714</v>
      </c>
      <c r="E37">
        <v>1045854</v>
      </c>
      <c r="F37">
        <v>45542894</v>
      </c>
    </row>
    <row r="38" spans="1:6" x14ac:dyDescent="0.35">
      <c r="A38" t="s">
        <v>18</v>
      </c>
      <c r="B38">
        <v>2020</v>
      </c>
      <c r="C38">
        <v>55114</v>
      </c>
      <c r="D38">
        <v>931</v>
      </c>
      <c r="E38">
        <v>51387</v>
      </c>
      <c r="F38">
        <v>0</v>
      </c>
    </row>
    <row r="39" spans="1:6" x14ac:dyDescent="0.35">
      <c r="A39" t="s">
        <v>18</v>
      </c>
      <c r="B39">
        <v>2021</v>
      </c>
      <c r="C39">
        <v>228770</v>
      </c>
      <c r="D39">
        <v>3875</v>
      </c>
      <c r="E39">
        <v>224465</v>
      </c>
      <c r="F39">
        <v>11342911</v>
      </c>
    </row>
    <row r="40" spans="1:6" x14ac:dyDescent="0.35">
      <c r="A40" t="s">
        <v>18</v>
      </c>
      <c r="B40">
        <v>2022</v>
      </c>
      <c r="C40">
        <v>312647</v>
      </c>
      <c r="D40">
        <v>4213</v>
      </c>
      <c r="E40">
        <v>308418</v>
      </c>
      <c r="F40">
        <v>15328491</v>
      </c>
    </row>
    <row r="41" spans="1:6" x14ac:dyDescent="0.35">
      <c r="A41" t="s">
        <v>19</v>
      </c>
      <c r="B41">
        <v>2020</v>
      </c>
      <c r="C41">
        <v>120744</v>
      </c>
      <c r="D41">
        <v>1880</v>
      </c>
      <c r="E41">
        <v>115830</v>
      </c>
      <c r="F41">
        <v>0</v>
      </c>
    </row>
    <row r="42" spans="1:6" x14ac:dyDescent="0.35">
      <c r="A42" t="s">
        <v>19</v>
      </c>
      <c r="B42">
        <v>2021</v>
      </c>
      <c r="C42">
        <v>341167</v>
      </c>
      <c r="D42">
        <v>4526</v>
      </c>
      <c r="E42">
        <v>335347</v>
      </c>
      <c r="F42">
        <v>18563122</v>
      </c>
    </row>
    <row r="43" spans="1:6" x14ac:dyDescent="0.35">
      <c r="A43" t="s">
        <v>19</v>
      </c>
      <c r="B43">
        <v>2022</v>
      </c>
      <c r="C43">
        <v>479417</v>
      </c>
      <c r="D43">
        <v>4785</v>
      </c>
      <c r="E43">
        <v>474610</v>
      </c>
      <c r="F43">
        <v>24784912</v>
      </c>
    </row>
    <row r="44" spans="1:6" x14ac:dyDescent="0.35">
      <c r="A44" t="s">
        <v>20</v>
      </c>
      <c r="B44">
        <v>2020</v>
      </c>
      <c r="C44">
        <v>114873</v>
      </c>
      <c r="D44">
        <v>1027</v>
      </c>
      <c r="E44">
        <v>112206</v>
      </c>
      <c r="F44">
        <v>0</v>
      </c>
    </row>
    <row r="45" spans="1:6" x14ac:dyDescent="0.35">
      <c r="A45" t="s">
        <v>20</v>
      </c>
      <c r="B45">
        <v>2021</v>
      </c>
      <c r="C45">
        <v>350986</v>
      </c>
      <c r="D45">
        <v>5143</v>
      </c>
      <c r="E45">
        <v>344472</v>
      </c>
      <c r="F45">
        <v>29894213</v>
      </c>
    </row>
    <row r="46" spans="1:6" x14ac:dyDescent="0.35">
      <c r="A46" t="s">
        <v>20</v>
      </c>
      <c r="B46">
        <v>2022</v>
      </c>
      <c r="C46">
        <v>443571</v>
      </c>
      <c r="D46">
        <v>5331</v>
      </c>
      <c r="E46">
        <v>437238</v>
      </c>
      <c r="F46">
        <v>43892014</v>
      </c>
    </row>
    <row r="47" spans="1:6" x14ac:dyDescent="0.35">
      <c r="A47" t="s">
        <v>21</v>
      </c>
      <c r="B47">
        <v>2020</v>
      </c>
      <c r="C47">
        <v>918544</v>
      </c>
      <c r="D47">
        <v>12081</v>
      </c>
      <c r="E47">
        <v>894834</v>
      </c>
      <c r="F47">
        <v>0</v>
      </c>
    </row>
    <row r="48" spans="1:6" x14ac:dyDescent="0.35">
      <c r="A48" t="s">
        <v>21</v>
      </c>
      <c r="B48">
        <v>2021</v>
      </c>
      <c r="C48">
        <v>3006505</v>
      </c>
      <c r="D48">
        <v>38327</v>
      </c>
      <c r="E48">
        <v>2959926</v>
      </c>
      <c r="F48">
        <v>81294155</v>
      </c>
    </row>
    <row r="49" spans="1:6" x14ac:dyDescent="0.35">
      <c r="A49" t="s">
        <v>21</v>
      </c>
      <c r="B49">
        <v>2022</v>
      </c>
      <c r="C49">
        <v>4076670</v>
      </c>
      <c r="D49">
        <v>40307</v>
      </c>
      <c r="E49">
        <v>4030363</v>
      </c>
      <c r="F49">
        <v>122158913</v>
      </c>
    </row>
    <row r="50" spans="1:6" x14ac:dyDescent="0.35">
      <c r="A50" t="s">
        <v>22</v>
      </c>
      <c r="B50">
        <v>2020</v>
      </c>
      <c r="C50">
        <v>755718</v>
      </c>
      <c r="D50">
        <v>3042</v>
      </c>
      <c r="E50">
        <v>687104</v>
      </c>
      <c r="F50">
        <v>0</v>
      </c>
    </row>
    <row r="51" spans="1:6" x14ac:dyDescent="0.35">
      <c r="A51" t="s">
        <v>22</v>
      </c>
      <c r="B51">
        <v>2021</v>
      </c>
      <c r="C51">
        <v>5244501</v>
      </c>
      <c r="D51">
        <v>47441</v>
      </c>
      <c r="E51">
        <v>5176535</v>
      </c>
      <c r="F51">
        <v>46894231</v>
      </c>
    </row>
    <row r="52" spans="1:6" x14ac:dyDescent="0.35">
      <c r="A52" t="s">
        <v>22</v>
      </c>
      <c r="B52">
        <v>2022</v>
      </c>
      <c r="C52">
        <v>6828376</v>
      </c>
      <c r="D52">
        <v>71555</v>
      </c>
      <c r="E52">
        <v>6755401</v>
      </c>
      <c r="F52">
        <v>57523914</v>
      </c>
    </row>
    <row r="53" spans="1:6" x14ac:dyDescent="0.35">
      <c r="A53" t="s">
        <v>23</v>
      </c>
      <c r="B53">
        <v>2020</v>
      </c>
      <c r="C53">
        <v>9447</v>
      </c>
      <c r="D53">
        <v>127</v>
      </c>
      <c r="E53">
        <v>9132</v>
      </c>
      <c r="F53">
        <v>0</v>
      </c>
    </row>
    <row r="54" spans="1:6" x14ac:dyDescent="0.35">
      <c r="A54" t="s">
        <v>23</v>
      </c>
      <c r="B54">
        <v>2021</v>
      </c>
      <c r="C54">
        <v>22173</v>
      </c>
      <c r="D54">
        <v>219</v>
      </c>
      <c r="E54">
        <v>21750</v>
      </c>
      <c r="F54">
        <v>432912</v>
      </c>
    </row>
    <row r="55" spans="1:6" x14ac:dyDescent="0.35">
      <c r="A55" t="s">
        <v>23</v>
      </c>
      <c r="B55">
        <v>2022</v>
      </c>
      <c r="C55">
        <v>29412</v>
      </c>
      <c r="D55">
        <v>231</v>
      </c>
      <c r="E55">
        <v>29178</v>
      </c>
      <c r="F55">
        <v>569314</v>
      </c>
    </row>
    <row r="56" spans="1:6" x14ac:dyDescent="0.35">
      <c r="A56" t="s">
        <v>24</v>
      </c>
      <c r="B56">
        <v>2020</v>
      </c>
      <c r="C56">
        <v>0</v>
      </c>
      <c r="D56">
        <v>0</v>
      </c>
      <c r="E56">
        <v>0</v>
      </c>
      <c r="F56">
        <v>0</v>
      </c>
    </row>
    <row r="57" spans="1:6" x14ac:dyDescent="0.35">
      <c r="A57" t="s">
        <v>24</v>
      </c>
      <c r="B57">
        <v>2021</v>
      </c>
      <c r="C57">
        <v>10416</v>
      </c>
      <c r="D57">
        <v>51</v>
      </c>
      <c r="E57">
        <v>10361</v>
      </c>
      <c r="F57">
        <v>102941</v>
      </c>
    </row>
    <row r="58" spans="1:6" x14ac:dyDescent="0.35">
      <c r="A58" t="s">
        <v>24</v>
      </c>
      <c r="B58">
        <v>2022</v>
      </c>
      <c r="C58">
        <v>11415</v>
      </c>
      <c r="D58">
        <v>52</v>
      </c>
      <c r="E58">
        <v>11363</v>
      </c>
      <c r="F58">
        <v>142358</v>
      </c>
    </row>
    <row r="59" spans="1:6" x14ac:dyDescent="0.35">
      <c r="A59" t="s">
        <v>25</v>
      </c>
      <c r="B59">
        <v>2020</v>
      </c>
      <c r="C59">
        <v>240947</v>
      </c>
      <c r="D59">
        <v>3595</v>
      </c>
      <c r="E59">
        <v>227965</v>
      </c>
      <c r="F59">
        <v>0</v>
      </c>
    </row>
    <row r="60" spans="1:6" x14ac:dyDescent="0.35">
      <c r="A60" t="s">
        <v>25</v>
      </c>
      <c r="B60">
        <v>2021</v>
      </c>
      <c r="C60">
        <v>793888</v>
      </c>
      <c r="D60">
        <v>10533</v>
      </c>
      <c r="E60">
        <v>782995</v>
      </c>
      <c r="F60">
        <v>102894121</v>
      </c>
    </row>
    <row r="61" spans="1:6" x14ac:dyDescent="0.35">
      <c r="A61" t="s">
        <v>25</v>
      </c>
      <c r="B61">
        <v>2022</v>
      </c>
      <c r="C61">
        <v>1054919</v>
      </c>
      <c r="D61">
        <v>10776</v>
      </c>
      <c r="E61">
        <v>1044138</v>
      </c>
      <c r="F61">
        <v>153928415</v>
      </c>
    </row>
    <row r="62" spans="1:6" x14ac:dyDescent="0.35">
      <c r="A62" t="s">
        <v>26</v>
      </c>
      <c r="B62">
        <v>2020</v>
      </c>
      <c r="C62">
        <v>1928603</v>
      </c>
      <c r="D62">
        <v>49463</v>
      </c>
      <c r="E62">
        <v>1824934</v>
      </c>
      <c r="F62">
        <v>0</v>
      </c>
    </row>
    <row r="63" spans="1:6" x14ac:dyDescent="0.35">
      <c r="A63" t="s">
        <v>26</v>
      </c>
      <c r="B63">
        <v>2021</v>
      </c>
      <c r="C63">
        <v>6670754</v>
      </c>
      <c r="D63">
        <v>141518</v>
      </c>
      <c r="E63">
        <v>6507330</v>
      </c>
      <c r="F63">
        <v>132941258</v>
      </c>
    </row>
    <row r="64" spans="1:6" x14ac:dyDescent="0.35">
      <c r="A64" t="s">
        <v>26</v>
      </c>
      <c r="B64">
        <v>2022</v>
      </c>
      <c r="C64">
        <v>8136633</v>
      </c>
      <c r="D64">
        <v>148417</v>
      </c>
      <c r="E64">
        <v>7988044</v>
      </c>
      <c r="F64">
        <v>177924155</v>
      </c>
    </row>
    <row r="65" spans="1:6" x14ac:dyDescent="0.35">
      <c r="A65" t="s">
        <v>27</v>
      </c>
      <c r="B65">
        <v>2020</v>
      </c>
      <c r="C65">
        <v>28137</v>
      </c>
      <c r="D65">
        <v>354</v>
      </c>
      <c r="E65">
        <v>26601</v>
      </c>
      <c r="F65">
        <v>0</v>
      </c>
    </row>
    <row r="66" spans="1:6" x14ac:dyDescent="0.35">
      <c r="A66" t="s">
        <v>27</v>
      </c>
      <c r="B66">
        <v>2021</v>
      </c>
      <c r="C66">
        <v>125778</v>
      </c>
      <c r="D66">
        <v>2002</v>
      </c>
      <c r="E66">
        <v>123586</v>
      </c>
      <c r="F66">
        <v>2314911</v>
      </c>
    </row>
    <row r="67" spans="1:6" x14ac:dyDescent="0.35">
      <c r="A67" t="s">
        <v>27</v>
      </c>
      <c r="B67">
        <v>2022</v>
      </c>
      <c r="C67">
        <v>139922</v>
      </c>
      <c r="D67">
        <v>2149</v>
      </c>
      <c r="E67">
        <v>137773</v>
      </c>
      <c r="F67">
        <v>3267914</v>
      </c>
    </row>
    <row r="68" spans="1:6" x14ac:dyDescent="0.35">
      <c r="A68" t="s">
        <v>28</v>
      </c>
      <c r="B68">
        <v>2020</v>
      </c>
      <c r="C68">
        <v>13408</v>
      </c>
      <c r="D68">
        <v>139</v>
      </c>
      <c r="E68">
        <v>13085</v>
      </c>
      <c r="F68">
        <v>0</v>
      </c>
    </row>
    <row r="69" spans="1:6" x14ac:dyDescent="0.35">
      <c r="A69" t="s">
        <v>28</v>
      </c>
      <c r="B69">
        <v>2021</v>
      </c>
      <c r="C69">
        <v>84817</v>
      </c>
      <c r="D69">
        <v>1484</v>
      </c>
      <c r="E69">
        <v>83272</v>
      </c>
      <c r="F69">
        <v>2194125</v>
      </c>
    </row>
    <row r="70" spans="1:6" x14ac:dyDescent="0.35">
      <c r="A70" t="s">
        <v>28</v>
      </c>
      <c r="B70">
        <v>2022</v>
      </c>
      <c r="C70">
        <v>96783</v>
      </c>
      <c r="D70">
        <v>1624</v>
      </c>
      <c r="E70">
        <v>95158</v>
      </c>
      <c r="F70">
        <v>2624911</v>
      </c>
    </row>
    <row r="71" spans="1:6" x14ac:dyDescent="0.35">
      <c r="A71" t="s">
        <v>29</v>
      </c>
      <c r="B71">
        <v>2020</v>
      </c>
      <c r="C71">
        <v>4204</v>
      </c>
      <c r="D71">
        <v>8</v>
      </c>
      <c r="E71">
        <v>4091</v>
      </c>
      <c r="F71">
        <v>0</v>
      </c>
    </row>
    <row r="72" spans="1:6" x14ac:dyDescent="0.35">
      <c r="A72" t="s">
        <v>29</v>
      </c>
      <c r="B72">
        <v>2021</v>
      </c>
      <c r="C72">
        <v>141400</v>
      </c>
      <c r="D72">
        <v>542</v>
      </c>
      <c r="E72">
        <v>139200</v>
      </c>
      <c r="F72">
        <v>1324911</v>
      </c>
    </row>
    <row r="73" spans="1:6" x14ac:dyDescent="0.35">
      <c r="A73" t="s">
        <v>29</v>
      </c>
      <c r="B73">
        <v>2022</v>
      </c>
      <c r="C73">
        <v>238964</v>
      </c>
      <c r="D73">
        <v>726</v>
      </c>
      <c r="E73">
        <v>238238</v>
      </c>
      <c r="F73">
        <v>1793512</v>
      </c>
    </row>
    <row r="74" spans="1:6" x14ac:dyDescent="0.35">
      <c r="A74" t="s">
        <v>30</v>
      </c>
      <c r="B74">
        <v>2020</v>
      </c>
      <c r="C74">
        <v>11921</v>
      </c>
      <c r="D74">
        <v>79</v>
      </c>
      <c r="E74">
        <v>11624</v>
      </c>
      <c r="F74">
        <v>0</v>
      </c>
    </row>
    <row r="75" spans="1:6" x14ac:dyDescent="0.35">
      <c r="A75" t="s">
        <v>30</v>
      </c>
      <c r="B75">
        <v>2021</v>
      </c>
      <c r="C75">
        <v>32191</v>
      </c>
      <c r="D75">
        <v>702</v>
      </c>
      <c r="E75">
        <v>31420</v>
      </c>
      <c r="F75">
        <v>1342158</v>
      </c>
    </row>
    <row r="76" spans="1:6" x14ac:dyDescent="0.35">
      <c r="A76" t="s">
        <v>30</v>
      </c>
      <c r="B76">
        <v>2022</v>
      </c>
      <c r="C76">
        <v>35986</v>
      </c>
      <c r="D76">
        <v>782</v>
      </c>
      <c r="E76">
        <v>35204</v>
      </c>
      <c r="F76">
        <v>1739241</v>
      </c>
    </row>
    <row r="77" spans="1:6" x14ac:dyDescent="0.35">
      <c r="A77" t="s">
        <v>31</v>
      </c>
      <c r="B77">
        <v>2020</v>
      </c>
      <c r="C77">
        <v>329306</v>
      </c>
      <c r="D77">
        <v>1871</v>
      </c>
      <c r="E77">
        <v>325103</v>
      </c>
      <c r="F77">
        <v>0</v>
      </c>
    </row>
    <row r="78" spans="1:6" x14ac:dyDescent="0.35">
      <c r="A78" t="s">
        <v>31</v>
      </c>
      <c r="B78">
        <v>2021</v>
      </c>
      <c r="C78">
        <v>1054606</v>
      </c>
      <c r="D78">
        <v>8458</v>
      </c>
      <c r="E78">
        <v>1044594</v>
      </c>
      <c r="F78">
        <v>50294155</v>
      </c>
    </row>
    <row r="79" spans="1:6" x14ac:dyDescent="0.35">
      <c r="A79" t="s">
        <v>31</v>
      </c>
      <c r="B79">
        <v>2022</v>
      </c>
      <c r="C79">
        <v>1336563</v>
      </c>
      <c r="D79">
        <v>9205</v>
      </c>
      <c r="E79">
        <v>1327264</v>
      </c>
      <c r="F79">
        <v>81523912</v>
      </c>
    </row>
    <row r="80" spans="1:6" x14ac:dyDescent="0.35">
      <c r="A80" t="s">
        <v>32</v>
      </c>
      <c r="B80">
        <v>2020</v>
      </c>
      <c r="C80">
        <v>38096</v>
      </c>
      <c r="D80">
        <v>633</v>
      </c>
      <c r="E80">
        <v>37100</v>
      </c>
      <c r="F80">
        <v>0</v>
      </c>
    </row>
    <row r="81" spans="1:6" x14ac:dyDescent="0.35">
      <c r="A81" t="s">
        <v>32</v>
      </c>
      <c r="B81">
        <v>2021</v>
      </c>
      <c r="C81">
        <v>129461</v>
      </c>
      <c r="D81">
        <v>1881</v>
      </c>
      <c r="E81">
        <v>127452</v>
      </c>
      <c r="F81">
        <v>1389412</v>
      </c>
    </row>
    <row r="82" spans="1:6" x14ac:dyDescent="0.35">
      <c r="A82" t="s">
        <v>32</v>
      </c>
      <c r="B82">
        <v>2022</v>
      </c>
      <c r="C82">
        <v>175512</v>
      </c>
      <c r="D82">
        <v>1975</v>
      </c>
      <c r="E82">
        <v>173530</v>
      </c>
      <c r="F82">
        <v>2274911</v>
      </c>
    </row>
    <row r="83" spans="1:6" x14ac:dyDescent="0.35">
      <c r="A83" t="s">
        <v>33</v>
      </c>
      <c r="B83">
        <v>2020</v>
      </c>
      <c r="C83">
        <v>166239</v>
      </c>
      <c r="D83">
        <v>5331</v>
      </c>
      <c r="E83">
        <v>157043</v>
      </c>
      <c r="F83">
        <v>0</v>
      </c>
    </row>
    <row r="84" spans="1:6" x14ac:dyDescent="0.35">
      <c r="A84" t="s">
        <v>33</v>
      </c>
      <c r="B84">
        <v>2021</v>
      </c>
      <c r="C84">
        <v>604594</v>
      </c>
      <c r="D84">
        <v>16644</v>
      </c>
      <c r="E84">
        <v>587368</v>
      </c>
      <c r="F84">
        <v>26594213</v>
      </c>
    </row>
    <row r="85" spans="1:6" x14ac:dyDescent="0.35">
      <c r="A85" t="s">
        <v>33</v>
      </c>
      <c r="B85">
        <v>2022</v>
      </c>
      <c r="C85">
        <v>784210</v>
      </c>
      <c r="D85">
        <v>19289</v>
      </c>
      <c r="E85">
        <v>764878</v>
      </c>
      <c r="F85">
        <v>47023915</v>
      </c>
    </row>
    <row r="86" spans="1:6" x14ac:dyDescent="0.35">
      <c r="A86" t="s">
        <v>34</v>
      </c>
      <c r="B86">
        <v>2020</v>
      </c>
      <c r="C86">
        <v>307554</v>
      </c>
      <c r="D86">
        <v>2689</v>
      </c>
      <c r="E86">
        <v>295030</v>
      </c>
      <c r="F86">
        <v>0</v>
      </c>
    </row>
    <row r="87" spans="1:6" x14ac:dyDescent="0.35">
      <c r="A87" t="s">
        <v>34</v>
      </c>
      <c r="B87">
        <v>2021</v>
      </c>
      <c r="C87">
        <v>956019</v>
      </c>
      <c r="D87">
        <v>8963</v>
      </c>
      <c r="E87">
        <v>946283</v>
      </c>
      <c r="F87">
        <v>80941255</v>
      </c>
    </row>
    <row r="88" spans="1:6" x14ac:dyDescent="0.35">
      <c r="A88" t="s">
        <v>34</v>
      </c>
      <c r="B88">
        <v>2022</v>
      </c>
      <c r="C88">
        <v>1315466</v>
      </c>
      <c r="D88">
        <v>9653</v>
      </c>
      <c r="E88">
        <v>1305740</v>
      </c>
      <c r="F88">
        <v>115421392</v>
      </c>
    </row>
    <row r="89" spans="1:6" x14ac:dyDescent="0.35">
      <c r="A89" t="s">
        <v>35</v>
      </c>
      <c r="B89">
        <v>2020</v>
      </c>
      <c r="C89">
        <v>5877</v>
      </c>
      <c r="D89">
        <v>127</v>
      </c>
      <c r="E89">
        <v>5218</v>
      </c>
      <c r="F89">
        <v>0</v>
      </c>
    </row>
    <row r="90" spans="1:6" x14ac:dyDescent="0.35">
      <c r="A90" t="s">
        <v>35</v>
      </c>
      <c r="B90">
        <v>2021</v>
      </c>
      <c r="C90">
        <v>32502</v>
      </c>
      <c r="D90">
        <v>409</v>
      </c>
      <c r="E90">
        <v>32032</v>
      </c>
      <c r="F90">
        <v>1029314</v>
      </c>
    </row>
    <row r="91" spans="1:6" x14ac:dyDescent="0.35">
      <c r="A91" t="s">
        <v>35</v>
      </c>
      <c r="B91">
        <v>2022</v>
      </c>
      <c r="C91">
        <v>44319</v>
      </c>
      <c r="D91">
        <v>499</v>
      </c>
      <c r="E91">
        <v>43819</v>
      </c>
      <c r="F91">
        <v>1362914</v>
      </c>
    </row>
    <row r="92" spans="1:6" x14ac:dyDescent="0.35">
      <c r="A92" t="s">
        <v>36</v>
      </c>
      <c r="B92">
        <v>2020</v>
      </c>
      <c r="C92">
        <v>817077</v>
      </c>
      <c r="D92">
        <v>12109</v>
      </c>
      <c r="E92">
        <v>796353</v>
      </c>
      <c r="F92">
        <v>0</v>
      </c>
    </row>
    <row r="93" spans="1:6" x14ac:dyDescent="0.35">
      <c r="A93" t="s">
        <v>36</v>
      </c>
      <c r="B93">
        <v>2021</v>
      </c>
      <c r="C93">
        <v>2746890</v>
      </c>
      <c r="D93">
        <v>36765</v>
      </c>
      <c r="E93">
        <v>2703196</v>
      </c>
      <c r="F93">
        <v>81563212</v>
      </c>
    </row>
    <row r="94" spans="1:6" x14ac:dyDescent="0.35">
      <c r="A94" t="s">
        <v>36</v>
      </c>
      <c r="B94">
        <v>2022</v>
      </c>
      <c r="C94">
        <v>3595415</v>
      </c>
      <c r="D94">
        <v>38049</v>
      </c>
      <c r="E94">
        <v>3556292</v>
      </c>
      <c r="F94">
        <v>127542911</v>
      </c>
    </row>
    <row r="95" spans="1:6" x14ac:dyDescent="0.35">
      <c r="A95" t="s">
        <v>37</v>
      </c>
      <c r="B95">
        <v>2020</v>
      </c>
      <c r="C95">
        <v>286354</v>
      </c>
      <c r="D95">
        <v>1541</v>
      </c>
      <c r="E95">
        <v>278839</v>
      </c>
      <c r="F95">
        <v>0</v>
      </c>
    </row>
    <row r="96" spans="1:6" x14ac:dyDescent="0.35">
      <c r="A96" t="s">
        <v>37</v>
      </c>
      <c r="B96">
        <v>2021</v>
      </c>
      <c r="C96">
        <v>681587</v>
      </c>
      <c r="D96">
        <v>4025</v>
      </c>
      <c r="E96">
        <v>673999</v>
      </c>
      <c r="F96">
        <v>47894213</v>
      </c>
    </row>
    <row r="97" spans="1:6" x14ac:dyDescent="0.35">
      <c r="A97" t="s">
        <v>37</v>
      </c>
      <c r="B97">
        <v>2022</v>
      </c>
      <c r="C97">
        <v>841839</v>
      </c>
      <c r="D97">
        <v>4111</v>
      </c>
      <c r="E97">
        <v>837162</v>
      </c>
      <c r="F97">
        <v>77542912</v>
      </c>
    </row>
    <row r="98" spans="1:6" x14ac:dyDescent="0.35">
      <c r="A98" t="s">
        <v>38</v>
      </c>
      <c r="B98">
        <v>2020</v>
      </c>
      <c r="C98">
        <v>33264</v>
      </c>
      <c r="D98">
        <v>385</v>
      </c>
      <c r="E98">
        <v>32751</v>
      </c>
      <c r="F98">
        <v>0</v>
      </c>
    </row>
    <row r="99" spans="1:6" x14ac:dyDescent="0.35">
      <c r="A99" t="s">
        <v>38</v>
      </c>
      <c r="B99">
        <v>2021</v>
      </c>
      <c r="C99">
        <v>85069</v>
      </c>
      <c r="D99">
        <v>829</v>
      </c>
      <c r="E99">
        <v>84145</v>
      </c>
      <c r="F99">
        <v>4912458</v>
      </c>
    </row>
    <row r="100" spans="1:6" x14ac:dyDescent="0.35">
      <c r="A100" t="s">
        <v>38</v>
      </c>
      <c r="B100">
        <v>2022</v>
      </c>
      <c r="C100">
        <v>108034</v>
      </c>
      <c r="D100">
        <v>940</v>
      </c>
      <c r="E100">
        <v>107094</v>
      </c>
      <c r="F100">
        <v>5912458</v>
      </c>
    </row>
    <row r="101" spans="1:6" x14ac:dyDescent="0.35">
      <c r="A101" t="s">
        <v>39</v>
      </c>
      <c r="B101">
        <v>2020</v>
      </c>
      <c r="C101">
        <v>584966</v>
      </c>
      <c r="D101">
        <v>8352</v>
      </c>
      <c r="E101">
        <v>562459</v>
      </c>
      <c r="F101">
        <v>0</v>
      </c>
    </row>
    <row r="102" spans="1:6" x14ac:dyDescent="0.35">
      <c r="A102" t="s">
        <v>39</v>
      </c>
      <c r="B102">
        <v>2021</v>
      </c>
      <c r="C102">
        <v>1711359</v>
      </c>
      <c r="D102">
        <v>22915</v>
      </c>
      <c r="E102">
        <v>1687799</v>
      </c>
      <c r="F102">
        <v>200854213</v>
      </c>
    </row>
    <row r="103" spans="1:6" x14ac:dyDescent="0.35">
      <c r="A103" t="s">
        <v>39</v>
      </c>
      <c r="B103">
        <v>2022</v>
      </c>
      <c r="C103">
        <v>2128104</v>
      </c>
      <c r="D103">
        <v>23633</v>
      </c>
      <c r="E103">
        <v>2104432</v>
      </c>
      <c r="F103">
        <v>392014913</v>
      </c>
    </row>
    <row r="104" spans="1:6" x14ac:dyDescent="0.35">
      <c r="A104" t="s">
        <v>40</v>
      </c>
      <c r="B104">
        <v>2020</v>
      </c>
      <c r="C104">
        <v>90616</v>
      </c>
      <c r="D104">
        <v>1504</v>
      </c>
      <c r="E104">
        <v>84149</v>
      </c>
      <c r="F104">
        <v>0</v>
      </c>
    </row>
    <row r="105" spans="1:6" x14ac:dyDescent="0.35">
      <c r="A105" t="s">
        <v>40</v>
      </c>
      <c r="B105">
        <v>2021</v>
      </c>
      <c r="C105">
        <v>344940</v>
      </c>
      <c r="D105">
        <v>7417</v>
      </c>
      <c r="E105">
        <v>337268</v>
      </c>
      <c r="F105">
        <v>13842155</v>
      </c>
    </row>
    <row r="106" spans="1:6" x14ac:dyDescent="0.35">
      <c r="A106" t="s">
        <v>40</v>
      </c>
      <c r="B106">
        <v>2022</v>
      </c>
      <c r="C106">
        <v>449389</v>
      </c>
      <c r="D106">
        <v>7751</v>
      </c>
      <c r="E106">
        <v>441610</v>
      </c>
      <c r="F106">
        <v>20124912</v>
      </c>
    </row>
    <row r="107" spans="1:6" x14ac:dyDescent="0.35">
      <c r="A107" t="s">
        <v>41</v>
      </c>
      <c r="B107">
        <v>2020</v>
      </c>
      <c r="C107">
        <v>550893</v>
      </c>
      <c r="D107">
        <v>9683</v>
      </c>
      <c r="E107">
        <v>528829</v>
      </c>
      <c r="F107">
        <v>0</v>
      </c>
    </row>
    <row r="108" spans="1:6" x14ac:dyDescent="0.35">
      <c r="A108" t="s">
        <v>41</v>
      </c>
      <c r="B108">
        <v>2021</v>
      </c>
      <c r="C108">
        <v>1635034</v>
      </c>
      <c r="D108">
        <v>19757</v>
      </c>
      <c r="E108">
        <v>1606501</v>
      </c>
      <c r="F108">
        <v>104291458</v>
      </c>
    </row>
    <row r="109" spans="1:6" x14ac:dyDescent="0.35">
      <c r="A109" t="s">
        <v>41</v>
      </c>
      <c r="B109">
        <v>2022</v>
      </c>
      <c r="C109">
        <v>2118617</v>
      </c>
      <c r="D109">
        <v>21532</v>
      </c>
      <c r="E109">
        <v>2097026</v>
      </c>
      <c r="F109">
        <v>156024915</v>
      </c>
    </row>
    <row r="112" spans="1:6" ht="16" x14ac:dyDescent="0.4">
      <c r="A112" s="5" t="s">
        <v>42</v>
      </c>
      <c r="B112" s="5">
        <v>2021</v>
      </c>
      <c r="C112" s="6">
        <f>SUMIF(Table1[Year],B112,Table1[Cases])</f>
        <v>34838804</v>
      </c>
      <c r="D112" s="6">
        <f>SUMIF(Table1[Year],B112,Table1[Deaths])</f>
        <v>481080</v>
      </c>
      <c r="E112" s="6">
        <f>SUMIF(Table1[Year],B112,Table1[Recovered])</f>
        <v>34266363</v>
      </c>
      <c r="F112" s="6">
        <f>SUMIF(Table1[Year],B112,Table1[Vaccinated])</f>
        <v>1441210550</v>
      </c>
    </row>
    <row r="114" spans="2:6" ht="18.5" x14ac:dyDescent="0.35">
      <c r="B114" s="7" t="s">
        <v>53</v>
      </c>
      <c r="C114" s="7"/>
      <c r="D114" s="7"/>
      <c r="E114" s="7"/>
    </row>
    <row r="115" spans="2:6" x14ac:dyDescent="0.35">
      <c r="C115" s="4"/>
      <c r="D115" s="4"/>
      <c r="E115" s="4"/>
      <c r="F115" s="4"/>
    </row>
    <row r="116" spans="2:6" x14ac:dyDescent="0.35">
      <c r="C116" s="4"/>
      <c r="D116" s="4"/>
      <c r="E116" s="4"/>
      <c r="F116" s="4"/>
    </row>
    <row r="125" spans="2:6" x14ac:dyDescent="0.35">
      <c r="C125" s="4"/>
      <c r="D125" s="4"/>
      <c r="E125" s="4"/>
      <c r="F125" s="4"/>
    </row>
    <row r="126" spans="2:6" x14ac:dyDescent="0.35">
      <c r="C126" s="4"/>
      <c r="D126" s="4"/>
      <c r="E126" s="4"/>
      <c r="F126" s="4"/>
    </row>
    <row r="127" spans="2:6" x14ac:dyDescent="0.35">
      <c r="C127" s="4"/>
      <c r="D127" s="4"/>
      <c r="E127" s="4"/>
      <c r="F127" s="4"/>
    </row>
  </sheetData>
  <dataValidations count="1">
    <dataValidation type="list" allowBlank="1" showInputMessage="1" showErrorMessage="1" sqref="B112" xr:uid="{7AD4E006-309E-4EA0-999F-98E03E041107}">
      <formula1>$B$2:$B$109</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8CB8-8C72-4AAC-A909-77E66DCD04D5}">
  <dimension ref="B8:L120"/>
  <sheetViews>
    <sheetView zoomScale="70" zoomScaleNormal="70" workbookViewId="0">
      <selection activeCell="K6" sqref="K6"/>
    </sheetView>
  </sheetViews>
  <sheetFormatPr defaultRowHeight="14.5" x14ac:dyDescent="0.35"/>
  <cols>
    <col min="2" max="2" width="39.90625" bestFit="1" customWidth="1"/>
    <col min="3" max="3" width="16.54296875" bestFit="1" customWidth="1"/>
    <col min="4" max="4" width="16.08984375" bestFit="1" customWidth="1"/>
    <col min="5" max="5" width="13" bestFit="1" customWidth="1"/>
    <col min="6" max="6" width="12.1796875" bestFit="1" customWidth="1"/>
    <col min="9" max="9" width="13.36328125" customWidth="1"/>
    <col min="10" max="10" width="12.1796875" bestFit="1" customWidth="1"/>
    <col min="11" max="11" width="13" bestFit="1" customWidth="1"/>
    <col min="12" max="12" width="16.54296875" bestFit="1" customWidth="1"/>
  </cols>
  <sheetData>
    <row r="8" spans="2:12" x14ac:dyDescent="0.35">
      <c r="B8" s="1" t="s">
        <v>47</v>
      </c>
      <c r="C8" t="s">
        <v>46</v>
      </c>
      <c r="D8" t="s">
        <v>45</v>
      </c>
      <c r="E8" t="s">
        <v>44</v>
      </c>
      <c r="F8" t="s">
        <v>43</v>
      </c>
      <c r="I8" s="1" t="s">
        <v>47</v>
      </c>
      <c r="J8" t="s">
        <v>43</v>
      </c>
      <c r="K8" t="s">
        <v>44</v>
      </c>
      <c r="L8" t="s">
        <v>46</v>
      </c>
    </row>
    <row r="9" spans="2:12" x14ac:dyDescent="0.35">
      <c r="B9" s="2">
        <v>2020</v>
      </c>
      <c r="C9">
        <v>0</v>
      </c>
      <c r="D9">
        <v>9860280</v>
      </c>
      <c r="E9">
        <v>148738</v>
      </c>
      <c r="F9">
        <v>10266674</v>
      </c>
      <c r="I9" s="2">
        <v>2020</v>
      </c>
      <c r="J9">
        <v>10266674</v>
      </c>
      <c r="K9">
        <v>148738</v>
      </c>
      <c r="L9">
        <v>0</v>
      </c>
    </row>
    <row r="10" spans="2:12" x14ac:dyDescent="0.35">
      <c r="B10" s="3" t="s">
        <v>6</v>
      </c>
      <c r="C10">
        <v>0</v>
      </c>
      <c r="D10">
        <v>4820</v>
      </c>
      <c r="E10">
        <v>62</v>
      </c>
      <c r="F10">
        <v>4941</v>
      </c>
      <c r="I10" s="2">
        <v>2021</v>
      </c>
      <c r="J10">
        <v>34838804</v>
      </c>
      <c r="K10">
        <v>481080</v>
      </c>
      <c r="L10">
        <v>1441210550</v>
      </c>
    </row>
    <row r="11" spans="2:12" x14ac:dyDescent="0.35">
      <c r="B11" s="3" t="s">
        <v>7</v>
      </c>
      <c r="C11">
        <v>0</v>
      </c>
      <c r="D11">
        <v>871588</v>
      </c>
      <c r="E11">
        <v>7104</v>
      </c>
      <c r="F11">
        <v>881948</v>
      </c>
      <c r="I11" s="2">
        <v>2022</v>
      </c>
      <c r="J11">
        <v>44699542</v>
      </c>
      <c r="K11">
        <v>530702</v>
      </c>
      <c r="L11">
        <v>2220531318</v>
      </c>
    </row>
    <row r="12" spans="2:12" x14ac:dyDescent="0.35">
      <c r="B12" s="3" t="s">
        <v>8</v>
      </c>
      <c r="C12">
        <v>0</v>
      </c>
      <c r="D12">
        <v>16549</v>
      </c>
      <c r="E12">
        <v>56</v>
      </c>
      <c r="F12">
        <v>16711</v>
      </c>
      <c r="I12" s="2" t="s">
        <v>48</v>
      </c>
      <c r="J12">
        <v>89805020</v>
      </c>
      <c r="K12">
        <v>1160520</v>
      </c>
      <c r="L12">
        <v>3661741868</v>
      </c>
    </row>
    <row r="13" spans="2:12" x14ac:dyDescent="0.35">
      <c r="B13" s="3" t="s">
        <v>9</v>
      </c>
      <c r="C13">
        <v>0</v>
      </c>
      <c r="D13">
        <v>211838</v>
      </c>
      <c r="E13">
        <v>1043</v>
      </c>
      <c r="F13">
        <v>216139</v>
      </c>
    </row>
    <row r="14" spans="2:12" x14ac:dyDescent="0.35">
      <c r="B14" s="3" t="s">
        <v>10</v>
      </c>
      <c r="C14">
        <v>0</v>
      </c>
      <c r="D14">
        <v>245156</v>
      </c>
      <c r="E14">
        <v>1393</v>
      </c>
      <c r="F14">
        <v>251348</v>
      </c>
    </row>
    <row r="15" spans="2:12" x14ac:dyDescent="0.35">
      <c r="B15" s="3" t="s">
        <v>11</v>
      </c>
      <c r="C15">
        <v>0</v>
      </c>
      <c r="D15">
        <v>18967</v>
      </c>
      <c r="E15">
        <v>316</v>
      </c>
      <c r="F15">
        <v>19682</v>
      </c>
    </row>
    <row r="16" spans="2:12" x14ac:dyDescent="0.35">
      <c r="B16" s="3" t="s">
        <v>12</v>
      </c>
      <c r="C16">
        <v>0</v>
      </c>
      <c r="D16">
        <v>263251</v>
      </c>
      <c r="E16">
        <v>3350</v>
      </c>
      <c r="F16">
        <v>278540</v>
      </c>
    </row>
    <row r="17" spans="2:6" x14ac:dyDescent="0.35">
      <c r="B17" s="3" t="s">
        <v>13</v>
      </c>
      <c r="C17">
        <v>0</v>
      </c>
      <c r="D17">
        <v>3364</v>
      </c>
      <c r="E17">
        <v>2</v>
      </c>
      <c r="F17">
        <v>3375</v>
      </c>
    </row>
    <row r="18" spans="2:6" x14ac:dyDescent="0.35">
      <c r="B18" s="3" t="s">
        <v>14</v>
      </c>
      <c r="C18">
        <v>0</v>
      </c>
      <c r="D18">
        <v>608434</v>
      </c>
      <c r="E18">
        <v>10523</v>
      </c>
      <c r="F18">
        <v>624795</v>
      </c>
    </row>
    <row r="19" spans="2:6" x14ac:dyDescent="0.35">
      <c r="B19" s="3" t="s">
        <v>15</v>
      </c>
      <c r="C19">
        <v>0</v>
      </c>
      <c r="D19">
        <v>49313</v>
      </c>
      <c r="E19">
        <v>737</v>
      </c>
      <c r="F19">
        <v>50981</v>
      </c>
    </row>
    <row r="20" spans="2:6" x14ac:dyDescent="0.35">
      <c r="B20" s="3" t="s">
        <v>16</v>
      </c>
      <c r="C20">
        <v>0</v>
      </c>
      <c r="D20">
        <v>229977</v>
      </c>
      <c r="E20">
        <v>4302</v>
      </c>
      <c r="F20">
        <v>244258</v>
      </c>
    </row>
    <row r="21" spans="2:6" x14ac:dyDescent="0.35">
      <c r="B21" s="3" t="s">
        <v>17</v>
      </c>
      <c r="C21">
        <v>0</v>
      </c>
      <c r="D21">
        <v>255356</v>
      </c>
      <c r="E21">
        <v>2899</v>
      </c>
      <c r="F21">
        <v>262054</v>
      </c>
    </row>
    <row r="22" spans="2:6" x14ac:dyDescent="0.35">
      <c r="B22" s="3" t="s">
        <v>18</v>
      </c>
      <c r="C22">
        <v>0</v>
      </c>
      <c r="D22">
        <v>51387</v>
      </c>
      <c r="E22">
        <v>931</v>
      </c>
      <c r="F22">
        <v>55114</v>
      </c>
    </row>
    <row r="23" spans="2:6" x14ac:dyDescent="0.35">
      <c r="B23" s="3" t="s">
        <v>19</v>
      </c>
      <c r="C23">
        <v>0</v>
      </c>
      <c r="D23">
        <v>115830</v>
      </c>
      <c r="E23">
        <v>1880</v>
      </c>
      <c r="F23">
        <v>120744</v>
      </c>
    </row>
    <row r="24" spans="2:6" x14ac:dyDescent="0.35">
      <c r="B24" s="3" t="s">
        <v>20</v>
      </c>
      <c r="C24">
        <v>0</v>
      </c>
      <c r="D24">
        <v>112206</v>
      </c>
      <c r="E24">
        <v>1027</v>
      </c>
      <c r="F24">
        <v>114873</v>
      </c>
    </row>
    <row r="25" spans="2:6" x14ac:dyDescent="0.35">
      <c r="B25" s="3" t="s">
        <v>21</v>
      </c>
      <c r="C25">
        <v>0</v>
      </c>
      <c r="D25">
        <v>894834</v>
      </c>
      <c r="E25">
        <v>12081</v>
      </c>
      <c r="F25">
        <v>918544</v>
      </c>
    </row>
    <row r="26" spans="2:6" x14ac:dyDescent="0.35">
      <c r="B26" s="3" t="s">
        <v>22</v>
      </c>
      <c r="C26">
        <v>0</v>
      </c>
      <c r="D26">
        <v>687104</v>
      </c>
      <c r="E26">
        <v>3042</v>
      </c>
      <c r="F26">
        <v>755718</v>
      </c>
    </row>
    <row r="27" spans="2:6" x14ac:dyDescent="0.35">
      <c r="B27" s="3" t="s">
        <v>23</v>
      </c>
      <c r="C27">
        <v>0</v>
      </c>
      <c r="D27">
        <v>9132</v>
      </c>
      <c r="E27">
        <v>127</v>
      </c>
      <c r="F27">
        <v>9447</v>
      </c>
    </row>
    <row r="28" spans="2:6" x14ac:dyDescent="0.35">
      <c r="B28" s="3" t="s">
        <v>24</v>
      </c>
      <c r="C28">
        <v>0</v>
      </c>
      <c r="D28">
        <v>0</v>
      </c>
      <c r="E28">
        <v>0</v>
      </c>
      <c r="F28">
        <v>0</v>
      </c>
    </row>
    <row r="29" spans="2:6" x14ac:dyDescent="0.35">
      <c r="B29" s="3" t="s">
        <v>25</v>
      </c>
      <c r="C29">
        <v>0</v>
      </c>
      <c r="D29">
        <v>227965</v>
      </c>
      <c r="E29">
        <v>3595</v>
      </c>
      <c r="F29">
        <v>240947</v>
      </c>
    </row>
    <row r="30" spans="2:6" x14ac:dyDescent="0.35">
      <c r="B30" s="3" t="s">
        <v>26</v>
      </c>
      <c r="C30">
        <v>0</v>
      </c>
      <c r="D30">
        <v>1824934</v>
      </c>
      <c r="E30">
        <v>49463</v>
      </c>
      <c r="F30">
        <v>1928603</v>
      </c>
    </row>
    <row r="31" spans="2:6" x14ac:dyDescent="0.35">
      <c r="B31" s="3" t="s">
        <v>27</v>
      </c>
      <c r="C31">
        <v>0</v>
      </c>
      <c r="D31">
        <v>26601</v>
      </c>
      <c r="E31">
        <v>354</v>
      </c>
      <c r="F31">
        <v>28137</v>
      </c>
    </row>
    <row r="32" spans="2:6" x14ac:dyDescent="0.35">
      <c r="B32" s="3" t="s">
        <v>28</v>
      </c>
      <c r="C32">
        <v>0</v>
      </c>
      <c r="D32">
        <v>13085</v>
      </c>
      <c r="E32">
        <v>139</v>
      </c>
      <c r="F32">
        <v>13408</v>
      </c>
    </row>
    <row r="33" spans="2:6" x14ac:dyDescent="0.35">
      <c r="B33" s="3" t="s">
        <v>29</v>
      </c>
      <c r="C33">
        <v>0</v>
      </c>
      <c r="D33">
        <v>4091</v>
      </c>
      <c r="E33">
        <v>8</v>
      </c>
      <c r="F33">
        <v>4204</v>
      </c>
    </row>
    <row r="34" spans="2:6" x14ac:dyDescent="0.35">
      <c r="B34" s="3" t="s">
        <v>30</v>
      </c>
      <c r="C34">
        <v>0</v>
      </c>
      <c r="D34">
        <v>11624</v>
      </c>
      <c r="E34">
        <v>79</v>
      </c>
      <c r="F34">
        <v>11921</v>
      </c>
    </row>
    <row r="35" spans="2:6" x14ac:dyDescent="0.35">
      <c r="B35" s="3" t="s">
        <v>31</v>
      </c>
      <c r="C35">
        <v>0</v>
      </c>
      <c r="D35">
        <v>325103</v>
      </c>
      <c r="E35">
        <v>1871</v>
      </c>
      <c r="F35">
        <v>329306</v>
      </c>
    </row>
    <row r="36" spans="2:6" x14ac:dyDescent="0.35">
      <c r="B36" s="3" t="s">
        <v>32</v>
      </c>
      <c r="C36">
        <v>0</v>
      </c>
      <c r="D36">
        <v>37100</v>
      </c>
      <c r="E36">
        <v>633</v>
      </c>
      <c r="F36">
        <v>38096</v>
      </c>
    </row>
    <row r="37" spans="2:6" x14ac:dyDescent="0.35">
      <c r="B37" s="3" t="s">
        <v>33</v>
      </c>
      <c r="C37">
        <v>0</v>
      </c>
      <c r="D37">
        <v>157043</v>
      </c>
      <c r="E37">
        <v>5331</v>
      </c>
      <c r="F37">
        <v>166239</v>
      </c>
    </row>
    <row r="38" spans="2:6" x14ac:dyDescent="0.35">
      <c r="B38" s="3" t="s">
        <v>34</v>
      </c>
      <c r="C38">
        <v>0</v>
      </c>
      <c r="D38">
        <v>295030</v>
      </c>
      <c r="E38">
        <v>2689</v>
      </c>
      <c r="F38">
        <v>307554</v>
      </c>
    </row>
    <row r="39" spans="2:6" x14ac:dyDescent="0.35">
      <c r="B39" s="3" t="s">
        <v>35</v>
      </c>
      <c r="C39">
        <v>0</v>
      </c>
      <c r="D39">
        <v>5218</v>
      </c>
      <c r="E39">
        <v>127</v>
      </c>
      <c r="F39">
        <v>5877</v>
      </c>
    </row>
    <row r="40" spans="2:6" x14ac:dyDescent="0.35">
      <c r="B40" s="3" t="s">
        <v>36</v>
      </c>
      <c r="C40">
        <v>0</v>
      </c>
      <c r="D40">
        <v>796353</v>
      </c>
      <c r="E40">
        <v>12109</v>
      </c>
      <c r="F40">
        <v>817077</v>
      </c>
    </row>
    <row r="41" spans="2:6" x14ac:dyDescent="0.35">
      <c r="B41" s="3" t="s">
        <v>37</v>
      </c>
      <c r="C41">
        <v>0</v>
      </c>
      <c r="D41">
        <v>278839</v>
      </c>
      <c r="E41">
        <v>1541</v>
      </c>
      <c r="F41">
        <v>286354</v>
      </c>
    </row>
    <row r="42" spans="2:6" x14ac:dyDescent="0.35">
      <c r="B42" s="3" t="s">
        <v>38</v>
      </c>
      <c r="C42">
        <v>0</v>
      </c>
      <c r="D42">
        <v>32751</v>
      </c>
      <c r="E42">
        <v>385</v>
      </c>
      <c r="F42">
        <v>33264</v>
      </c>
    </row>
    <row r="43" spans="2:6" x14ac:dyDescent="0.35">
      <c r="B43" s="3" t="s">
        <v>39</v>
      </c>
      <c r="C43">
        <v>0</v>
      </c>
      <c r="D43">
        <v>562459</v>
      </c>
      <c r="E43">
        <v>8352</v>
      </c>
      <c r="F43">
        <v>584966</v>
      </c>
    </row>
    <row r="44" spans="2:6" x14ac:dyDescent="0.35">
      <c r="B44" s="3" t="s">
        <v>40</v>
      </c>
      <c r="C44">
        <v>0</v>
      </c>
      <c r="D44">
        <v>84149</v>
      </c>
      <c r="E44">
        <v>1504</v>
      </c>
      <c r="F44">
        <v>90616</v>
      </c>
    </row>
    <row r="45" spans="2:6" x14ac:dyDescent="0.35">
      <c r="B45" s="3" t="s">
        <v>41</v>
      </c>
      <c r="C45">
        <v>0</v>
      </c>
      <c r="D45">
        <v>528829</v>
      </c>
      <c r="E45">
        <v>9683</v>
      </c>
      <c r="F45">
        <v>550893</v>
      </c>
    </row>
    <row r="46" spans="2:6" x14ac:dyDescent="0.35">
      <c r="B46" s="2">
        <v>2021</v>
      </c>
      <c r="C46">
        <v>1441210550</v>
      </c>
      <c r="D46">
        <v>34266363</v>
      </c>
      <c r="E46">
        <v>481080</v>
      </c>
      <c r="F46">
        <v>34838804</v>
      </c>
    </row>
    <row r="47" spans="2:6" x14ac:dyDescent="0.35">
      <c r="B47" s="3" t="s">
        <v>6</v>
      </c>
      <c r="C47">
        <v>592837</v>
      </c>
      <c r="D47">
        <v>7582</v>
      </c>
      <c r="E47">
        <v>129</v>
      </c>
      <c r="F47">
        <v>7720</v>
      </c>
    </row>
    <row r="48" spans="2:6" x14ac:dyDescent="0.35">
      <c r="B48" s="3" t="s">
        <v>7</v>
      </c>
      <c r="C48">
        <v>68894212</v>
      </c>
      <c r="D48">
        <v>2061405</v>
      </c>
      <c r="E48">
        <v>14493</v>
      </c>
      <c r="F48">
        <v>2076979</v>
      </c>
    </row>
    <row r="49" spans="2:6" x14ac:dyDescent="0.35">
      <c r="B49" s="3" t="s">
        <v>8</v>
      </c>
      <c r="C49">
        <v>1461358</v>
      </c>
      <c r="D49">
        <v>55038</v>
      </c>
      <c r="E49">
        <v>280</v>
      </c>
      <c r="F49">
        <v>55339</v>
      </c>
    </row>
    <row r="50" spans="2:6" x14ac:dyDescent="0.35">
      <c r="B50" s="3" t="s">
        <v>9</v>
      </c>
      <c r="C50">
        <v>37549618</v>
      </c>
      <c r="D50">
        <v>612282</v>
      </c>
      <c r="E50">
        <v>6164</v>
      </c>
      <c r="F50">
        <v>620573</v>
      </c>
    </row>
    <row r="51" spans="2:6" x14ac:dyDescent="0.35">
      <c r="B51" s="3" t="s">
        <v>10</v>
      </c>
      <c r="C51">
        <v>99824631</v>
      </c>
      <c r="D51">
        <v>714308</v>
      </c>
      <c r="E51">
        <v>12096</v>
      </c>
      <c r="F51">
        <v>726738</v>
      </c>
    </row>
    <row r="52" spans="2:6" x14ac:dyDescent="0.35">
      <c r="B52" s="3" t="s">
        <v>11</v>
      </c>
      <c r="C52">
        <v>1923051</v>
      </c>
      <c r="D52">
        <v>64638</v>
      </c>
      <c r="E52">
        <v>1079</v>
      </c>
      <c r="F52">
        <v>65846</v>
      </c>
    </row>
    <row r="53" spans="2:6" x14ac:dyDescent="0.35">
      <c r="B53" s="3" t="s">
        <v>12</v>
      </c>
      <c r="C53">
        <v>31698374</v>
      </c>
      <c r="D53">
        <v>993800</v>
      </c>
      <c r="E53">
        <v>13600</v>
      </c>
      <c r="F53">
        <v>1007997</v>
      </c>
    </row>
    <row r="54" spans="2:6" x14ac:dyDescent="0.35">
      <c r="B54" s="3" t="s">
        <v>13</v>
      </c>
      <c r="C54">
        <v>1294822</v>
      </c>
      <c r="D54">
        <v>10687</v>
      </c>
      <c r="E54">
        <v>4</v>
      </c>
      <c r="F54">
        <v>10691</v>
      </c>
    </row>
    <row r="55" spans="2:6" x14ac:dyDescent="0.35">
      <c r="B55" s="3" t="s">
        <v>14</v>
      </c>
      <c r="C55">
        <v>26183944</v>
      </c>
      <c r="D55">
        <v>1418227</v>
      </c>
      <c r="E55">
        <v>25107</v>
      </c>
      <c r="F55">
        <v>1446415</v>
      </c>
    </row>
    <row r="56" spans="2:6" x14ac:dyDescent="0.35">
      <c r="B56" s="3" t="s">
        <v>15</v>
      </c>
      <c r="C56">
        <v>2589341</v>
      </c>
      <c r="D56">
        <v>176283</v>
      </c>
      <c r="E56">
        <v>3521</v>
      </c>
      <c r="F56">
        <v>180660</v>
      </c>
    </row>
    <row r="57" spans="2:6" x14ac:dyDescent="0.35">
      <c r="B57" s="3" t="s">
        <v>16</v>
      </c>
      <c r="C57">
        <v>89563214</v>
      </c>
      <c r="D57">
        <v>818589</v>
      </c>
      <c r="E57">
        <v>10118</v>
      </c>
      <c r="F57">
        <v>831078</v>
      </c>
    </row>
    <row r="58" spans="2:6" x14ac:dyDescent="0.35">
      <c r="B58" s="3" t="s">
        <v>17</v>
      </c>
      <c r="C58">
        <v>34493121</v>
      </c>
      <c r="D58">
        <v>762228</v>
      </c>
      <c r="E58">
        <v>10063</v>
      </c>
      <c r="F58">
        <v>773361</v>
      </c>
    </row>
    <row r="59" spans="2:6" x14ac:dyDescent="0.35">
      <c r="B59" s="3" t="s">
        <v>18</v>
      </c>
      <c r="C59">
        <v>11342911</v>
      </c>
      <c r="D59">
        <v>224465</v>
      </c>
      <c r="E59">
        <v>3875</v>
      </c>
      <c r="F59">
        <v>228770</v>
      </c>
    </row>
    <row r="60" spans="2:6" x14ac:dyDescent="0.35">
      <c r="B60" s="3" t="s">
        <v>19</v>
      </c>
      <c r="C60">
        <v>18563122</v>
      </c>
      <c r="D60">
        <v>335347</v>
      </c>
      <c r="E60">
        <v>4526</v>
      </c>
      <c r="F60">
        <v>341167</v>
      </c>
    </row>
    <row r="61" spans="2:6" x14ac:dyDescent="0.35">
      <c r="B61" s="3" t="s">
        <v>20</v>
      </c>
      <c r="C61">
        <v>29894213</v>
      </c>
      <c r="D61">
        <v>344472</v>
      </c>
      <c r="E61">
        <v>5143</v>
      </c>
      <c r="F61">
        <v>350986</v>
      </c>
    </row>
    <row r="62" spans="2:6" x14ac:dyDescent="0.35">
      <c r="B62" s="3" t="s">
        <v>21</v>
      </c>
      <c r="C62">
        <v>81294155</v>
      </c>
      <c r="D62">
        <v>2959926</v>
      </c>
      <c r="E62">
        <v>38327</v>
      </c>
      <c r="F62">
        <v>3006505</v>
      </c>
    </row>
    <row r="63" spans="2:6" x14ac:dyDescent="0.35">
      <c r="B63" s="3" t="s">
        <v>22</v>
      </c>
      <c r="C63">
        <v>46894231</v>
      </c>
      <c r="D63">
        <v>5176535</v>
      </c>
      <c r="E63">
        <v>47441</v>
      </c>
      <c r="F63">
        <v>5244501</v>
      </c>
    </row>
    <row r="64" spans="2:6" x14ac:dyDescent="0.35">
      <c r="B64" s="3" t="s">
        <v>23</v>
      </c>
      <c r="C64">
        <v>432912</v>
      </c>
      <c r="D64">
        <v>21750</v>
      </c>
      <c r="E64">
        <v>219</v>
      </c>
      <c r="F64">
        <v>22173</v>
      </c>
    </row>
    <row r="65" spans="2:6" x14ac:dyDescent="0.35">
      <c r="B65" s="3" t="s">
        <v>24</v>
      </c>
      <c r="C65">
        <v>102941</v>
      </c>
      <c r="D65">
        <v>10361</v>
      </c>
      <c r="E65">
        <v>51</v>
      </c>
      <c r="F65">
        <v>10416</v>
      </c>
    </row>
    <row r="66" spans="2:6" x14ac:dyDescent="0.35">
      <c r="B66" s="3" t="s">
        <v>25</v>
      </c>
      <c r="C66">
        <v>102894121</v>
      </c>
      <c r="D66">
        <v>782995</v>
      </c>
      <c r="E66">
        <v>10533</v>
      </c>
      <c r="F66">
        <v>793888</v>
      </c>
    </row>
    <row r="67" spans="2:6" x14ac:dyDescent="0.35">
      <c r="B67" s="3" t="s">
        <v>26</v>
      </c>
      <c r="C67">
        <v>132941258</v>
      </c>
      <c r="D67">
        <v>6507330</v>
      </c>
      <c r="E67">
        <v>141518</v>
      </c>
      <c r="F67">
        <v>6670754</v>
      </c>
    </row>
    <row r="68" spans="2:6" x14ac:dyDescent="0.35">
      <c r="B68" s="3" t="s">
        <v>27</v>
      </c>
      <c r="C68">
        <v>2314911</v>
      </c>
      <c r="D68">
        <v>123586</v>
      </c>
      <c r="E68">
        <v>2002</v>
      </c>
      <c r="F68">
        <v>125778</v>
      </c>
    </row>
    <row r="69" spans="2:6" x14ac:dyDescent="0.35">
      <c r="B69" s="3" t="s">
        <v>28</v>
      </c>
      <c r="C69">
        <v>2194125</v>
      </c>
      <c r="D69">
        <v>83272</v>
      </c>
      <c r="E69">
        <v>1484</v>
      </c>
      <c r="F69">
        <v>84817</v>
      </c>
    </row>
    <row r="70" spans="2:6" x14ac:dyDescent="0.35">
      <c r="B70" s="3" t="s">
        <v>29</v>
      </c>
      <c r="C70">
        <v>1324911</v>
      </c>
      <c r="D70">
        <v>139200</v>
      </c>
      <c r="E70">
        <v>542</v>
      </c>
      <c r="F70">
        <v>141400</v>
      </c>
    </row>
    <row r="71" spans="2:6" x14ac:dyDescent="0.35">
      <c r="B71" s="3" t="s">
        <v>30</v>
      </c>
      <c r="C71">
        <v>1342158</v>
      </c>
      <c r="D71">
        <v>31420</v>
      </c>
      <c r="E71">
        <v>702</v>
      </c>
      <c r="F71">
        <v>32191</v>
      </c>
    </row>
    <row r="72" spans="2:6" x14ac:dyDescent="0.35">
      <c r="B72" s="3" t="s">
        <v>31</v>
      </c>
      <c r="C72">
        <v>50294155</v>
      </c>
      <c r="D72">
        <v>1044594</v>
      </c>
      <c r="E72">
        <v>8458</v>
      </c>
      <c r="F72">
        <v>1054606</v>
      </c>
    </row>
    <row r="73" spans="2:6" x14ac:dyDescent="0.35">
      <c r="B73" s="3" t="s">
        <v>32</v>
      </c>
      <c r="C73">
        <v>1389412</v>
      </c>
      <c r="D73">
        <v>127452</v>
      </c>
      <c r="E73">
        <v>1881</v>
      </c>
      <c r="F73">
        <v>129461</v>
      </c>
    </row>
    <row r="74" spans="2:6" x14ac:dyDescent="0.35">
      <c r="B74" s="3" t="s">
        <v>33</v>
      </c>
      <c r="C74">
        <v>26594213</v>
      </c>
      <c r="D74">
        <v>587368</v>
      </c>
      <c r="E74">
        <v>16644</v>
      </c>
      <c r="F74">
        <v>604594</v>
      </c>
    </row>
    <row r="75" spans="2:6" x14ac:dyDescent="0.35">
      <c r="B75" s="3" t="s">
        <v>34</v>
      </c>
      <c r="C75">
        <v>80941255</v>
      </c>
      <c r="D75">
        <v>946283</v>
      </c>
      <c r="E75">
        <v>8963</v>
      </c>
      <c r="F75">
        <v>956019</v>
      </c>
    </row>
    <row r="76" spans="2:6" x14ac:dyDescent="0.35">
      <c r="B76" s="3" t="s">
        <v>35</v>
      </c>
      <c r="C76">
        <v>1029314</v>
      </c>
      <c r="D76">
        <v>32032</v>
      </c>
      <c r="E76">
        <v>409</v>
      </c>
      <c r="F76">
        <v>32502</v>
      </c>
    </row>
    <row r="77" spans="2:6" x14ac:dyDescent="0.35">
      <c r="B77" s="3" t="s">
        <v>36</v>
      </c>
      <c r="C77">
        <v>81563212</v>
      </c>
      <c r="D77">
        <v>2703196</v>
      </c>
      <c r="E77">
        <v>36765</v>
      </c>
      <c r="F77">
        <v>2746890</v>
      </c>
    </row>
    <row r="78" spans="2:6" x14ac:dyDescent="0.35">
      <c r="B78" s="3" t="s">
        <v>37</v>
      </c>
      <c r="C78">
        <v>47894213</v>
      </c>
      <c r="D78">
        <v>673999</v>
      </c>
      <c r="E78">
        <v>4025</v>
      </c>
      <c r="F78">
        <v>681587</v>
      </c>
    </row>
    <row r="79" spans="2:6" x14ac:dyDescent="0.35">
      <c r="B79" s="3" t="s">
        <v>38</v>
      </c>
      <c r="C79">
        <v>4912458</v>
      </c>
      <c r="D79">
        <v>84145</v>
      </c>
      <c r="E79">
        <v>829</v>
      </c>
      <c r="F79">
        <v>85069</v>
      </c>
    </row>
    <row r="80" spans="2:6" x14ac:dyDescent="0.35">
      <c r="B80" s="3" t="s">
        <v>39</v>
      </c>
      <c r="C80">
        <v>200854213</v>
      </c>
      <c r="D80">
        <v>1687799</v>
      </c>
      <c r="E80">
        <v>22915</v>
      </c>
      <c r="F80">
        <v>1711359</v>
      </c>
    </row>
    <row r="81" spans="2:6" x14ac:dyDescent="0.35">
      <c r="B81" s="3" t="s">
        <v>40</v>
      </c>
      <c r="C81">
        <v>13842155</v>
      </c>
      <c r="D81">
        <v>337268</v>
      </c>
      <c r="E81">
        <v>7417</v>
      </c>
      <c r="F81">
        <v>344940</v>
      </c>
    </row>
    <row r="82" spans="2:6" x14ac:dyDescent="0.35">
      <c r="B82" s="3" t="s">
        <v>41</v>
      </c>
      <c r="C82">
        <v>104291458</v>
      </c>
      <c r="D82">
        <v>1606501</v>
      </c>
      <c r="E82">
        <v>19757</v>
      </c>
      <c r="F82">
        <v>1635034</v>
      </c>
    </row>
    <row r="83" spans="2:6" x14ac:dyDescent="0.35">
      <c r="B83" s="2">
        <v>2022</v>
      </c>
      <c r="C83">
        <v>2220531318</v>
      </c>
      <c r="D83">
        <v>44144029</v>
      </c>
      <c r="E83">
        <v>530702</v>
      </c>
      <c r="F83">
        <v>44699542</v>
      </c>
    </row>
    <row r="84" spans="2:6" x14ac:dyDescent="0.35">
      <c r="B84" s="3" t="s">
        <v>6</v>
      </c>
      <c r="C84">
        <v>991263</v>
      </c>
      <c r="D84">
        <v>10612</v>
      </c>
      <c r="E84">
        <v>129</v>
      </c>
      <c r="F84">
        <v>10746</v>
      </c>
    </row>
    <row r="85" spans="2:6" x14ac:dyDescent="0.35">
      <c r="B85" s="3" t="s">
        <v>7</v>
      </c>
      <c r="C85">
        <v>110655938</v>
      </c>
      <c r="D85">
        <v>2324332</v>
      </c>
      <c r="E85">
        <v>14733</v>
      </c>
      <c r="F85">
        <v>2349069</v>
      </c>
    </row>
    <row r="86" spans="2:6" x14ac:dyDescent="0.35">
      <c r="B86" s="3" t="s">
        <v>8</v>
      </c>
      <c r="C86">
        <v>1923512</v>
      </c>
      <c r="D86">
        <v>66594</v>
      </c>
      <c r="E86">
        <v>296</v>
      </c>
      <c r="F86">
        <v>66890</v>
      </c>
    </row>
    <row r="87" spans="2:6" x14ac:dyDescent="0.35">
      <c r="B87" s="3" t="s">
        <v>9</v>
      </c>
      <c r="C87">
        <v>50325492</v>
      </c>
      <c r="D87">
        <v>738065</v>
      </c>
      <c r="E87">
        <v>8035</v>
      </c>
      <c r="F87">
        <v>746100</v>
      </c>
    </row>
    <row r="88" spans="2:6" x14ac:dyDescent="0.35">
      <c r="B88" s="3" t="s">
        <v>10</v>
      </c>
      <c r="C88">
        <v>157252874</v>
      </c>
      <c r="D88">
        <v>839062</v>
      </c>
      <c r="E88">
        <v>12302</v>
      </c>
      <c r="F88">
        <v>851388</v>
      </c>
    </row>
    <row r="89" spans="2:6" x14ac:dyDescent="0.35">
      <c r="B89" s="3" t="s">
        <v>11</v>
      </c>
      <c r="C89">
        <v>2289417</v>
      </c>
      <c r="D89">
        <v>98162</v>
      </c>
      <c r="E89">
        <v>1181</v>
      </c>
      <c r="F89">
        <v>99349</v>
      </c>
    </row>
    <row r="90" spans="2:6" x14ac:dyDescent="0.35">
      <c r="B90" s="3" t="s">
        <v>12</v>
      </c>
      <c r="C90">
        <v>49157832</v>
      </c>
      <c r="D90">
        <v>1163602</v>
      </c>
      <c r="E90">
        <v>14146</v>
      </c>
      <c r="F90">
        <v>1177754</v>
      </c>
    </row>
    <row r="91" spans="2:6" x14ac:dyDescent="0.35">
      <c r="B91" s="3" t="s">
        <v>13</v>
      </c>
      <c r="C91">
        <v>1582914</v>
      </c>
      <c r="D91">
        <v>11587</v>
      </c>
      <c r="E91">
        <v>4</v>
      </c>
      <c r="F91">
        <v>11591</v>
      </c>
    </row>
    <row r="92" spans="2:6" x14ac:dyDescent="0.35">
      <c r="B92" s="3" t="s">
        <v>14</v>
      </c>
      <c r="C92">
        <v>37402619</v>
      </c>
      <c r="D92">
        <v>1980657</v>
      </c>
      <c r="E92">
        <v>26521</v>
      </c>
      <c r="F92">
        <v>2007208</v>
      </c>
    </row>
    <row r="93" spans="2:6" x14ac:dyDescent="0.35">
      <c r="B93" s="3" t="s">
        <v>15</v>
      </c>
      <c r="C93">
        <v>2874312</v>
      </c>
      <c r="D93">
        <v>255050</v>
      </c>
      <c r="E93">
        <v>4013</v>
      </c>
      <c r="F93">
        <v>263084</v>
      </c>
    </row>
    <row r="94" spans="2:6" x14ac:dyDescent="0.35">
      <c r="B94" s="3" t="s">
        <v>16</v>
      </c>
      <c r="C94">
        <v>128084122</v>
      </c>
      <c r="D94">
        <v>1266479</v>
      </c>
      <c r="E94">
        <v>11043</v>
      </c>
      <c r="F94">
        <v>1277569</v>
      </c>
    </row>
    <row r="95" spans="2:6" x14ac:dyDescent="0.35">
      <c r="B95" s="3" t="s">
        <v>17</v>
      </c>
      <c r="C95">
        <v>45542894</v>
      </c>
      <c r="D95">
        <v>1045854</v>
      </c>
      <c r="E95">
        <v>10714</v>
      </c>
      <c r="F95">
        <v>1056611</v>
      </c>
    </row>
    <row r="96" spans="2:6" x14ac:dyDescent="0.35">
      <c r="B96" s="3" t="s">
        <v>18</v>
      </c>
      <c r="C96">
        <v>15328491</v>
      </c>
      <c r="D96">
        <v>308418</v>
      </c>
      <c r="E96">
        <v>4213</v>
      </c>
      <c r="F96">
        <v>312647</v>
      </c>
    </row>
    <row r="97" spans="2:6" x14ac:dyDescent="0.35">
      <c r="B97" s="3" t="s">
        <v>19</v>
      </c>
      <c r="C97">
        <v>24784912</v>
      </c>
      <c r="D97">
        <v>474610</v>
      </c>
      <c r="E97">
        <v>4785</v>
      </c>
      <c r="F97">
        <v>479417</v>
      </c>
    </row>
    <row r="98" spans="2:6" x14ac:dyDescent="0.35">
      <c r="B98" s="3" t="s">
        <v>20</v>
      </c>
      <c r="C98">
        <v>43892014</v>
      </c>
      <c r="D98">
        <v>437238</v>
      </c>
      <c r="E98">
        <v>5331</v>
      </c>
      <c r="F98">
        <v>443571</v>
      </c>
    </row>
    <row r="99" spans="2:6" x14ac:dyDescent="0.35">
      <c r="B99" s="3" t="s">
        <v>21</v>
      </c>
      <c r="C99">
        <v>122158913</v>
      </c>
      <c r="D99">
        <v>4030363</v>
      </c>
      <c r="E99">
        <v>40307</v>
      </c>
      <c r="F99">
        <v>4076670</v>
      </c>
    </row>
    <row r="100" spans="2:6" x14ac:dyDescent="0.35">
      <c r="B100" s="3" t="s">
        <v>22</v>
      </c>
      <c r="C100">
        <v>57523914</v>
      </c>
      <c r="D100">
        <v>6755401</v>
      </c>
      <c r="E100">
        <v>71555</v>
      </c>
      <c r="F100">
        <v>6828376</v>
      </c>
    </row>
    <row r="101" spans="2:6" x14ac:dyDescent="0.35">
      <c r="B101" s="3" t="s">
        <v>23</v>
      </c>
      <c r="C101">
        <v>569314</v>
      </c>
      <c r="D101">
        <v>29178</v>
      </c>
      <c r="E101">
        <v>231</v>
      </c>
      <c r="F101">
        <v>29412</v>
      </c>
    </row>
    <row r="102" spans="2:6" x14ac:dyDescent="0.35">
      <c r="B102" s="3" t="s">
        <v>24</v>
      </c>
      <c r="C102">
        <v>142358</v>
      </c>
      <c r="D102">
        <v>11363</v>
      </c>
      <c r="E102">
        <v>52</v>
      </c>
      <c r="F102">
        <v>11415</v>
      </c>
    </row>
    <row r="103" spans="2:6" x14ac:dyDescent="0.35">
      <c r="B103" s="3" t="s">
        <v>25</v>
      </c>
      <c r="C103">
        <v>153928415</v>
      </c>
      <c r="D103">
        <v>1044138</v>
      </c>
      <c r="E103">
        <v>10776</v>
      </c>
      <c r="F103">
        <v>1054919</v>
      </c>
    </row>
    <row r="104" spans="2:6" x14ac:dyDescent="0.35">
      <c r="B104" s="3" t="s">
        <v>26</v>
      </c>
      <c r="C104">
        <v>177924155</v>
      </c>
      <c r="D104">
        <v>7988044</v>
      </c>
      <c r="E104">
        <v>148417</v>
      </c>
      <c r="F104">
        <v>8136633</v>
      </c>
    </row>
    <row r="105" spans="2:6" x14ac:dyDescent="0.35">
      <c r="B105" s="3" t="s">
        <v>27</v>
      </c>
      <c r="C105">
        <v>3267914</v>
      </c>
      <c r="D105">
        <v>137773</v>
      </c>
      <c r="E105">
        <v>2149</v>
      </c>
      <c r="F105">
        <v>139922</v>
      </c>
    </row>
    <row r="106" spans="2:6" x14ac:dyDescent="0.35">
      <c r="B106" s="3" t="s">
        <v>28</v>
      </c>
      <c r="C106">
        <v>2624911</v>
      </c>
      <c r="D106">
        <v>95158</v>
      </c>
      <c r="E106">
        <v>1624</v>
      </c>
      <c r="F106">
        <v>96783</v>
      </c>
    </row>
    <row r="107" spans="2:6" x14ac:dyDescent="0.35">
      <c r="B107" s="3" t="s">
        <v>29</v>
      </c>
      <c r="C107">
        <v>1793512</v>
      </c>
      <c r="D107">
        <v>238238</v>
      </c>
      <c r="E107">
        <v>726</v>
      </c>
      <c r="F107">
        <v>238964</v>
      </c>
    </row>
    <row r="108" spans="2:6" x14ac:dyDescent="0.35">
      <c r="B108" s="3" t="s">
        <v>30</v>
      </c>
      <c r="C108">
        <v>1739241</v>
      </c>
      <c r="D108">
        <v>35204</v>
      </c>
      <c r="E108">
        <v>782</v>
      </c>
      <c r="F108">
        <v>35986</v>
      </c>
    </row>
    <row r="109" spans="2:6" x14ac:dyDescent="0.35">
      <c r="B109" s="3" t="s">
        <v>31</v>
      </c>
      <c r="C109">
        <v>81523912</v>
      </c>
      <c r="D109">
        <v>1327264</v>
      </c>
      <c r="E109">
        <v>9205</v>
      </c>
      <c r="F109">
        <v>1336563</v>
      </c>
    </row>
    <row r="110" spans="2:6" x14ac:dyDescent="0.35">
      <c r="B110" s="3" t="s">
        <v>32</v>
      </c>
      <c r="C110">
        <v>2274911</v>
      </c>
      <c r="D110">
        <v>173530</v>
      </c>
      <c r="E110">
        <v>1975</v>
      </c>
      <c r="F110">
        <v>175512</v>
      </c>
    </row>
    <row r="111" spans="2:6" x14ac:dyDescent="0.35">
      <c r="B111" s="3" t="s">
        <v>33</v>
      </c>
      <c r="C111">
        <v>47023915</v>
      </c>
      <c r="D111">
        <v>764878</v>
      </c>
      <c r="E111">
        <v>19289</v>
      </c>
      <c r="F111">
        <v>784210</v>
      </c>
    </row>
    <row r="112" spans="2:6" x14ac:dyDescent="0.35">
      <c r="B112" s="3" t="s">
        <v>34</v>
      </c>
      <c r="C112">
        <v>115421392</v>
      </c>
      <c r="D112">
        <v>1305740</v>
      </c>
      <c r="E112">
        <v>9653</v>
      </c>
      <c r="F112">
        <v>1315466</v>
      </c>
    </row>
    <row r="113" spans="2:6" x14ac:dyDescent="0.35">
      <c r="B113" s="3" t="s">
        <v>35</v>
      </c>
      <c r="C113">
        <v>1362914</v>
      </c>
      <c r="D113">
        <v>43819</v>
      </c>
      <c r="E113">
        <v>499</v>
      </c>
      <c r="F113">
        <v>44319</v>
      </c>
    </row>
    <row r="114" spans="2:6" x14ac:dyDescent="0.35">
      <c r="B114" s="3" t="s">
        <v>36</v>
      </c>
      <c r="C114">
        <v>127542911</v>
      </c>
      <c r="D114">
        <v>3556292</v>
      </c>
      <c r="E114">
        <v>38049</v>
      </c>
      <c r="F114">
        <v>3595415</v>
      </c>
    </row>
    <row r="115" spans="2:6" x14ac:dyDescent="0.35">
      <c r="B115" s="3" t="s">
        <v>37</v>
      </c>
      <c r="C115">
        <v>77542912</v>
      </c>
      <c r="D115">
        <v>837162</v>
      </c>
      <c r="E115">
        <v>4111</v>
      </c>
      <c r="F115">
        <v>841839</v>
      </c>
    </row>
    <row r="116" spans="2:6" x14ac:dyDescent="0.35">
      <c r="B116" s="3" t="s">
        <v>38</v>
      </c>
      <c r="C116">
        <v>5912458</v>
      </c>
      <c r="D116">
        <v>107094</v>
      </c>
      <c r="E116">
        <v>940</v>
      </c>
      <c r="F116">
        <v>108034</v>
      </c>
    </row>
    <row r="117" spans="2:6" x14ac:dyDescent="0.35">
      <c r="B117" s="3" t="s">
        <v>39</v>
      </c>
      <c r="C117">
        <v>392014913</v>
      </c>
      <c r="D117">
        <v>2104432</v>
      </c>
      <c r="E117">
        <v>23633</v>
      </c>
      <c r="F117">
        <v>2128104</v>
      </c>
    </row>
    <row r="118" spans="2:6" x14ac:dyDescent="0.35">
      <c r="B118" s="3" t="s">
        <v>40</v>
      </c>
      <c r="C118">
        <v>20124912</v>
      </c>
      <c r="D118">
        <v>441610</v>
      </c>
      <c r="E118">
        <v>7751</v>
      </c>
      <c r="F118">
        <v>449389</v>
      </c>
    </row>
    <row r="119" spans="2:6" x14ac:dyDescent="0.35">
      <c r="B119" s="3" t="s">
        <v>41</v>
      </c>
      <c r="C119">
        <v>156024915</v>
      </c>
      <c r="D119">
        <v>2097026</v>
      </c>
      <c r="E119">
        <v>21532</v>
      </c>
      <c r="F119">
        <v>2118617</v>
      </c>
    </row>
    <row r="120" spans="2:6" x14ac:dyDescent="0.35">
      <c r="B120" s="2" t="s">
        <v>48</v>
      </c>
      <c r="C120">
        <v>3661741868</v>
      </c>
      <c r="D120">
        <v>88270672</v>
      </c>
      <c r="E120">
        <v>1160520</v>
      </c>
      <c r="F120">
        <v>89805020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004F-AE17-4681-8304-A6F3918E7E3F}">
  <dimension ref="B3:Q4"/>
  <sheetViews>
    <sheetView showGridLines="0" zoomScale="90" zoomScaleNormal="90" workbookViewId="0">
      <selection activeCell="M4" sqref="M4"/>
    </sheetView>
  </sheetViews>
  <sheetFormatPr defaultRowHeight="14.5" x14ac:dyDescent="0.35"/>
  <cols>
    <col min="3" max="4" width="8.7265625" customWidth="1"/>
    <col min="9" max="9" width="6.90625" customWidth="1"/>
    <col min="12" max="13" width="14.08984375" customWidth="1"/>
  </cols>
  <sheetData>
    <row r="3" spans="2:17" ht="15" thickBot="1" x14ac:dyDescent="0.4"/>
    <row r="4" spans="2:17" ht="16.5" thickBot="1" x14ac:dyDescent="0.45">
      <c r="B4" s="8" t="s">
        <v>49</v>
      </c>
      <c r="C4" s="9"/>
      <c r="D4" s="10"/>
      <c r="F4" s="11" t="s">
        <v>50</v>
      </c>
      <c r="G4" s="12"/>
      <c r="H4" s="13"/>
      <c r="J4" s="8" t="s">
        <v>51</v>
      </c>
      <c r="K4" s="9"/>
      <c r="L4" s="10"/>
      <c r="N4" s="8" t="s">
        <v>52</v>
      </c>
      <c r="O4" s="9"/>
      <c r="P4" s="9"/>
      <c r="Q4" s="10"/>
    </row>
  </sheetData>
  <mergeCells count="4">
    <mergeCell ref="J4:L4"/>
    <mergeCell ref="F4:H4"/>
    <mergeCell ref="N4:Q4"/>
    <mergeCell ref="B4:D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F4D65E-211F-48A3-8208-7089F4DE76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Covid 19 Statewise Data</vt:lpstr>
      <vt:lpstr>Pivot Table &amp; 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Aziz Chharchhodawala</cp:lastModifiedBy>
  <dcterms:created xsi:type="dcterms:W3CDTF">2026-08-26T09:05:13Z</dcterms:created>
  <dcterms:modified xsi:type="dcterms:W3CDTF">2026-09-01T13:52:27Z</dcterms:modified>
</cp:coreProperties>
</file>